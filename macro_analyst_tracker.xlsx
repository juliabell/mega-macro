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ls Log" sheetId="1" state="visible" r:id="rId3"/>
    <sheet name="Analyst Profiles" sheetId="2" state="visible" r:id="rId4"/>
    <sheet name="Consensus Matrix" sheetId="3" state="visible" r:id="rId5"/>
    <sheet name="Change Log" sheetId="4" state="visible" r:id="rId6"/>
  </sheets>
  <definedNames>
    <definedName function="false" hidden="true" localSheetId="0" name="_xlnm._FilterDatabase" vbProcedure="false">'Calls Log'!$A$1:$O$1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<sst xmlns="http://schemas.openxmlformats.org/spreadsheetml/2006/main" count="2253" uniqueCount="830">
  <si>
    <t xml:space="preserve">Date</t>
  </si>
  <si>
    <t xml:space="preserve">Analyst</t>
  </si>
  <si>
    <t xml:space="preserve">Source Type</t>
  </si>
  <si>
    <t xml:space="preserve">Source URL/Reference</t>
  </si>
  <si>
    <t xml:space="preserve">Asset Class</t>
  </si>
  <si>
    <t xml:space="preserve">Specific Asset</t>
  </si>
  <si>
    <t xml:space="preserve">Direction</t>
  </si>
  <si>
    <t xml:space="preserve">Conviction (1-5)</t>
  </si>
  <si>
    <t xml:space="preserve">Time Horizon</t>
  </si>
  <si>
    <t xml:space="preserve">Key Level/Target</t>
  </si>
  <si>
    <t xml:space="preserve">Core Thesis (Brief)</t>
  </si>
  <si>
    <t xml:space="preserve">Supporting Data Points</t>
  </si>
  <si>
    <t xml:space="preserve">Contrarian vs Consensus</t>
  </si>
  <si>
    <t xml:space="preserve">Status</t>
  </si>
  <si>
    <t xml:space="preserve">Outcome Notes</t>
  </si>
  <si>
    <t xml:space="preserve">YYYY-MM-DD</t>
  </si>
  <si>
    <t xml:space="preserve">e.g. Lyn Alden</t>
  </si>
  <si>
    <t xml:space="preserve">Report/Video/Tweet/Chart</t>
  </si>
  <si>
    <t xml:space="preserve">URL or file ref</t>
  </si>
  <si>
    <t xml:space="preserve">Rates/FX/Equities/Commodities/Crypto/Fiscal</t>
  </si>
  <si>
    <t xml:space="preserve">e.g. UST 10Y, DXY, Gold</t>
  </si>
  <si>
    <t xml:space="preserve">Bullish/Bearish/Neutral</t>
  </si>
  <si>
    <t xml:space="preserve">1=Low, 5=High</t>
  </si>
  <si>
    <t xml:space="preserve">ST/MT/LT</t>
  </si>
  <si>
    <t xml:space="preserve">Price level or range</t>
  </si>
  <si>
    <t xml:space="preserve">1-2 sentence summary</t>
  </si>
  <si>
    <t xml:space="preserve">Key data cited</t>
  </si>
  <si>
    <t xml:space="preserve">Contrarian/Consensus/Mixed</t>
  </si>
  <si>
    <t xml:space="preserve">Active/Closed/Revised</t>
  </si>
  <si>
    <t xml:space="preserve">Result tracking</t>
  </si>
  <si>
    <t xml:space="preserve">2026-03-15</t>
  </si>
  <si>
    <t xml:space="preserve">Lyn Alden</t>
  </si>
  <si>
    <t xml:space="preserve">Report</t>
  </si>
  <si>
    <t xml:space="preserve">https://www.lynalden.com/premium-2026-3-15/</t>
  </si>
  <si>
    <t xml:space="preserve">FX</t>
  </si>
  <si>
    <t xml:space="preserve">US Dollar (DXY)</t>
  </si>
  <si>
    <t xml:space="preserve">Bullish (short-term)</t>
  </si>
  <si>
    <t xml:space="preserve">ST</t>
  </si>
  <si>
    <t xml:space="preserve">&gt;100</t>
  </si>
  <si>
    <t xml:space="preserve">Dollar inching up due to crisis demand for USD to meet cross-border liabilities; puts pressure on global liquidity</t>
  </si>
  <si>
    <t xml:space="preserve">DXY over 100; majority of cross-border liabilities denominated in USD</t>
  </si>
  <si>
    <t xml:space="preserve">Consensus</t>
  </si>
  <si>
    <t xml:space="preserve">Active</t>
  </si>
  <si>
    <t xml:space="preserve">Macro/Liquidity</t>
  </si>
  <si>
    <t xml:space="preserve">Global Liquidity</t>
  </si>
  <si>
    <t xml:space="preserve">Bearish</t>
  </si>
  <si>
    <t xml:space="preserve">ST/MT</t>
  </si>
  <si>
    <t xml:space="preserve">Global liquidity not great; energy costs reducing purchasing power elsewhere. US domestic liquidity still fine due to Fed balance sheet expansion</t>
  </si>
  <si>
    <t xml:space="preserve">Fed 'gradual print' continuing; standing repo/swap facilities as first line of defense</t>
  </si>
  <si>
    <t xml:space="preserve">Macro/GDP</t>
  </si>
  <si>
    <t xml:space="preserve">US Economy</t>
  </si>
  <si>
    <t xml:space="preserve">US economy decelerating to stall speed. Two-speed economy: fiscal deficit/AI beneficiaries doing well, lower income struggling. 'Economic shields are down'</t>
  </si>
  <si>
    <t xml:space="preserve">Q4 2025 GDP revised to 0.7% annualized; jobs flat since Apr 2025; Atlanta Fed Q1 2026 projections mediocre</t>
  </si>
  <si>
    <t xml:space="preserve">Contrarian</t>
  </si>
  <si>
    <t xml:space="preserve">Commodities</t>
  </si>
  <si>
    <t xml:space="preserve">Oil (WTI) / Energy Producers</t>
  </si>
  <si>
    <t xml:space="preserve">Bullish</t>
  </si>
  <si>
    <t xml:space="preserve">Futures ~$100, Dubai physical ~$140</t>
  </si>
  <si>
    <t xml:space="preserve">Strait of Hormuz heavily impaired by Iran war; prolonged oil spike is rising threat. Energy producers are effective geopolitical hedge, touching new ATHs</t>
  </si>
  <si>
    <t xml:space="preserve">~20% of global production transits Strait; 200+ ships at anchor; Polymarket 33% odds of $150 by June; Maersk suspended transit</t>
  </si>
  <si>
    <t xml:space="preserve">Crypto</t>
  </si>
  <si>
    <t xml:space="preserve">Bitcoin</t>
  </si>
  <si>
    <t xml:space="preserve">LT</t>
  </si>
  <si>
    <t xml:space="preserve">Bitcoin outperforming S&amp;P 500 and gold since war began. Sellers exhausted after 50%+ drawdown. Good time to DCA. Long-term bullish on adoption pattern</t>
  </si>
  <si>
    <t xml:space="preserve">Momentum indicators showing stabilization; potential extra demand from Persian Gulf region</t>
  </si>
  <si>
    <t xml:space="preserve">Equities/Financials</t>
  </si>
  <si>
    <t xml:space="preserve">Regional &amp; Super-Regional Banks</t>
  </si>
  <si>
    <t xml:space="preserve">MT</t>
  </si>
  <si>
    <t xml:space="preserve">Private credit issues real but bank contagion risk overblown. Banks hold 32% of assets in cash/Treasuries vs 13% in 2008. Recent selloff alleviated overbought conditions</t>
  </si>
  <si>
    <t xml:space="preserve">Big 4 banks have 4-10% NDFI exposure; banks have $1.9T NDFI lending but $24.5T total assets and $2.5T equity</t>
  </si>
  <si>
    <t xml:space="preserve">Equities/Tech</t>
  </si>
  <si>
    <t xml:space="preserve">Adobe (ADBE) / SaaS</t>
  </si>
  <si>
    <t xml:space="preserve">Bullish (early)</t>
  </si>
  <si>
    <t xml:space="preserve">MT/LT</t>
  </si>
  <si>
    <t xml:space="preserve">~11x forward earnings</t>
  </si>
  <si>
    <t xml:space="preserve">SaaS companies disrupted by AI fears are becoming contrarian opportunities. ADBE has fortress balance sheet, 10.9% ARR growth. Still early - dabbling, not pounding table</t>
  </si>
  <si>
    <t xml:space="preserve">Freemium users 80M MAU (+50% YoY); Firefly AI credits +45% QoQ; CEO transition</t>
  </si>
  <si>
    <t xml:space="preserve">Fiscal/Sovereign</t>
  </si>
  <si>
    <t xml:space="preserve">US Fiscal Deficit / Sovereign Debt</t>
  </si>
  <si>
    <t xml:space="preserve">The biggest bubble is at the sovereign level: federal debts and deficits. Ends in debasement/inflation (fire), not defaults (ice). Hallmark of fiscal dominance</t>
  </si>
  <si>
    <t xml:space="preserve">Debt rotated from private sector to public sector since 2008; economy heading up nominally = fiscal dominance</t>
  </si>
  <si>
    <t xml:space="preserve">2026-03-01</t>
  </si>
  <si>
    <t xml:space="preserve">https://www.lynalden.com/premium-2026-3-1/</t>
  </si>
  <si>
    <t xml:space="preserve">Neutral</t>
  </si>
  <si>
    <t xml:space="preserve">Domestic liquidity decent with Fed's gradually rising balance sheet. DXY at multi-year low helps global liquidity, but Japan's rising rates create pressure. Not at extremes - fundamentals matter more</t>
  </si>
  <si>
    <t xml:space="preserve">SOFR-IORB spreads elevated; $18B repo facility flare-up on Feb 17 quickly subsided</t>
  </si>
  <si>
    <t xml:space="preserve">Neutral (mixed)</t>
  </si>
  <si>
    <t xml:space="preserve">Q4 2025 GDP at 1.4% annualized, below consensus. But Atlanta Fed pointing toward 3% for Q1 2026. Impacted by govt shutdown and trade deficit</t>
  </si>
  <si>
    <t xml:space="preserve">Q4 hurt by govt shutdown and gold-flow trade deficit distortions; Q1 looking better</t>
  </si>
  <si>
    <t xml:space="preserve">Fiscal/Policy</t>
  </si>
  <si>
    <t xml:space="preserve">US Tariffs</t>
  </si>
  <si>
    <t xml:space="preserve">Bullish (for markets)</t>
  </si>
  <si>
    <t xml:space="preserve">Supreme Court 6-3 ruling against emergency tariff powers. Tariff ceiling likely in. Represents ~$300B fiscal swing - effectively mild stimulus. Other laws more limited in scope</t>
  </si>
  <si>
    <t xml:space="preserve">Trump admin pivoting to alternative legal bases but these are narrower; ~1% of GDP impact</t>
  </si>
  <si>
    <t xml:space="preserve">Oil / Strait of Hormuz</t>
  </si>
  <si>
    <t xml:space="preserve">Bullish (energy producers)</t>
  </si>
  <si>
    <t xml:space="preserve">Iran strikes began - Strait of Hormuz impaired. ~20% of global production transits Strait. Energy producers in portfolios as tail risk hedge. Stagflationary scenario. Base case: doesn't expect prolonged closure</t>
  </si>
  <si>
    <t xml:space="preserve">200+ ships at anchor; 3 ships struck; Maersk suspended; insurance cancellations; Khamenei killed</t>
  </si>
  <si>
    <t xml:space="preserve">Second attempt at price bottom. Weekly RSI at historical lows. Dropped mildly during Iran strikes but quickly recovered. Attractive accumulation period. Rarely makes V-shaped bottoms</t>
  </si>
  <si>
    <t xml:space="preserve">Grinding sideways since Feb; correlated with software stocks; healthy 24/7 liquidity response to Iran</t>
  </si>
  <si>
    <t xml:space="preserve">SaaS / Adobe (ADBE)</t>
  </si>
  <si>
    <t xml:space="preserve">Bullish (early/patient)</t>
  </si>
  <si>
    <t xml:space="preserve">SaaS industry in carnage (reflected in stock prices, not yet in revenue). Dabbling in ADBE. 'Let things burn down and stabilize, then pick through the rubble.' Block laid off 40%+ citing AI</t>
  </si>
  <si>
    <t xml:space="preserve">Block stock soared 16% post-layoff announcement; METR shows AI completing 1-hour human tasks; Jevons Paradox may apply</t>
  </si>
  <si>
    <t xml:space="preserve">Gold / Precious Metals</t>
  </si>
  <si>
    <t xml:space="preserve">Shifted from bullish to neutral. Not a bubble but was overbought. Structural repricing from undervalued to fairly-valued. Gold stabilized after Jan drop, grinding higher. Hasn't sold - still useful for portfolio diversification</t>
  </si>
  <si>
    <t xml:space="preserve">Sharp drop in late January followed by stabilization; silver and platinum also stabilizing</t>
  </si>
  <si>
    <t xml:space="preserve">Mixed</t>
  </si>
  <si>
    <t xml:space="preserve">2026-02-15</t>
  </si>
  <si>
    <t xml:space="preserve">https://www.lynalden.com/premium-2026-2-15/</t>
  </si>
  <si>
    <t xml:space="preserve">Domestic Liquidity</t>
  </si>
  <si>
    <t xml:space="preserve">Fed expanding balance sheet easing Q4 interbank issues. Banks making loans at positive rate. Most US liquidity metrics in decent shape</t>
  </si>
  <si>
    <t xml:space="preserve">Interbank liquidity issues from Q4 2025 subsiding</t>
  </si>
  <si>
    <t xml:space="preserve">Flat-to-down dollar beneficial. Japan's rising rates putting brakes on from east. China redirecting liquidity to industrial policy. Global liquidity 'middling' - no booms among major economies</t>
  </si>
  <si>
    <t xml:space="preserve">China now world's largest auto exporter; EM consumers benefiting from cheap Chinese cars</t>
  </si>
  <si>
    <t xml:space="preserve">Two-speed economy continues. Job market at stall speed. But green shoots in US manufacturing - PMI at highest since 2022 tightening campaign, new orders segment giving good signs</t>
  </si>
  <si>
    <t xml:space="preserve">Manufacturing PMI breakout; wealthy/AI-adjacent doing well; lower-income/rate-sensitive struggling</t>
  </si>
  <si>
    <t xml:space="preserve">US Regional Banks</t>
  </si>
  <si>
    <t xml:space="preserve">Remains moderately bullish on US regional bank stocks. Liquidity improvements support thesis</t>
  </si>
  <si>
    <t xml:space="preserve">Banks making loans; Fed balance sheet expansion easing interbank conditions</t>
  </si>
  <si>
    <t xml:space="preserve">Bullish (long-term)</t>
  </si>
  <si>
    <t xml:space="preserve">Worst sentiment since covering BTC from 2017 at $6,800. Structurally bearish broad crypto ex-BTC/stablecoins. Long-term bullish BTC but bottoms take time - grinding sideways. Strong correlation with software stocks</t>
  </si>
  <si>
    <t xml:space="preserve">Price action similar to Nov bottom; weekly indicators stabilizing; no V-bottom expected</t>
  </si>
  <si>
    <t xml:space="preserve">Adobe (ADBE)</t>
  </si>
  <si>
    <t xml:space="preserve">Bullish (value play)</t>
  </si>
  <si>
    <t xml:space="preserve">~12x blended earnings</t>
  </si>
  <si>
    <t xml:space="preserve">ADBE transitioned from growth to value stock at ~12x earnings. Errs toward value play not value trap. Fortress balance sheet, still growing revenue/FCF. Professional market dominance intact despite Canva/Figma competition</t>
  </si>
  <si>
    <t xml:space="preserve">Below 2022 lows; buying back shares aggressively; adding to portfolio replacing VAL</t>
  </si>
  <si>
    <t xml:space="preserve">AI Hyperscalers (MSFT, ORCL, META, GOOGL)</t>
  </si>
  <si>
    <t xml:space="preserve">Neutral/Cautious</t>
  </si>
  <si>
    <t xml:space="preserve">3 of 4 hyperscalers underperformed S&amp;P 500. Too much competition and capex limiting FCF at high valuations. Neutral GOOGL, cautious MSFT/ORCL/META</t>
  </si>
  <si>
    <t xml:space="preserve">Massive capex announcements growing larger; weaker network effects in AI era</t>
  </si>
  <si>
    <t xml:space="preserve">Equities</t>
  </si>
  <si>
    <t xml:space="preserve">Equal-Weight S&amp;P 500 vs Market-Weight</t>
  </si>
  <si>
    <t xml:space="preserve">Bullish (equal-weight)</t>
  </si>
  <si>
    <t xml:space="preserve">AI may shift value accrual from mega-caps to consumers and harder-asset businesses. Equal-weight sharply outperforming since Nov 2025. Mega-cap network effects weakening in AI era</t>
  </si>
  <si>
    <t xml:space="preserve">AI commoditizes platforms; consumers benefit from capex 'race to the bottom'; monitoring this shift</t>
  </si>
  <si>
    <t xml:space="preserve">Commodities/Energy</t>
  </si>
  <si>
    <t xml:space="preserve">Oilfield Services (SLB, HAL, VAL)</t>
  </si>
  <si>
    <t xml:space="preserve">Neutral (hold)</t>
  </si>
  <si>
    <t xml:space="preserve">Selling VAL at Transocean acquisition premium - reached target. Shifting SLB/HAL to neutral hold after 36-43% surges. Not bearish but asymmetric upside gone near-term</t>
  </si>
  <si>
    <t xml:space="preserve">RIG-VAL merger; VAL at ATH; SLB/HAL up 36-43% in 5 months from Sept 2025 report bottom call</t>
  </si>
  <si>
    <t xml:space="preserve">2026-02-01</t>
  </si>
  <si>
    <t xml:space="preserve">https://www.lynalden.com/premium-2026-2-1/</t>
  </si>
  <si>
    <t xml:space="preserve">Macro/Fed</t>
  </si>
  <si>
    <t xml:space="preserve">Fed Policy / Kevin Warsh</t>
  </si>
  <si>
    <t xml:space="preserve">Neutral-to-Dovish</t>
  </si>
  <si>
    <t xml:space="preserve">Warsh nominated as next Fed chair (historically hawkish but recently dovish). Low odds he can meaningfully shrink balance sheet. Banks near low end of ample reserve range. Expects dovish lean in intermediate term</t>
  </si>
  <si>
    <t xml:space="preserve">Warsh favoring rate cuts citing AI productivity; Trump wants lower rates; Fed shifted to balance sheet growth</t>
  </si>
  <si>
    <t xml:space="preserve">Domestic liquidity on uptrend since Fed shifted to balance sheet expansion. Repo market shortages mostly absent in Jan. Expects liquidity to stabilize then trend upward through April</t>
  </si>
  <si>
    <t xml:space="preserve">TGA rising above normal (drags liquidity); Fed and Treasury pulling in opposite directions; repo shortages subsided</t>
  </si>
  <si>
    <t xml:space="preserve">Bullish (gradual)</t>
  </si>
  <si>
    <t xml:space="preserve">Dollar index at lowest since late 2021 (good for global liquidity). Base case: global liquidity to gradually grind upward in coming year. Dollar to continue devaluing vs CNY</t>
  </si>
  <si>
    <t xml:space="preserve">DXY at multi-year lows; no major catalyst to greatly boost or diminish; Warsh nomination strengthened USD slightly</t>
  </si>
  <si>
    <t xml:space="preserve">Neutral (two-speed)</t>
  </si>
  <si>
    <t xml:space="preserve">Two-speed economy: older/wealthier doing well, younger/less wealthy stagnating. Consumer confidence at decade low. Q4 GDP boosted by gold export distortion. Fiscal deficits and AI capex providing tailwinds</t>
  </si>
  <si>
    <t xml:space="preserve">Conference Board confidence at 10yr low; sharp divide by age and politics; industrial production mild uptrend; construction spending mild downtrend</t>
  </si>
  <si>
    <t xml:space="preserve">Bullish (long-term, cautious ST)</t>
  </si>
  <si>
    <t xml:space="preserve">Nov 22 bottom thesis invalidated as BTC fell sub-$80k. Crypto overhang from overvalued altcoins (XRP, ETH) is headwind. Structurally bearish broad crypto ex-BTC/stablecoins. Still expects strong 2026-2027 but needs new higher-highs/lows</t>
  </si>
  <si>
    <t xml:space="preserve">Warsh nomination as catalyst for selloff; leveraged liquidations; weekend military action fears; XRP bearish at $100B; ETHBTC forming lower-highs</t>
  </si>
  <si>
    <t xml:space="preserve">Neutral (cautious)</t>
  </si>
  <si>
    <t xml:space="preserve">Multi-decade record daily losses (gold $5500-&gt;$4800, silver $120-&gt;$85, platinum $2900-&gt;$2100). Not adding on dips. Risk/reward no longer asymmetric. Not bearish but edge is gone. Letting dust settle</t>
  </si>
  <si>
    <t xml:space="preserve">Silver 4x from May 2025 ($30) to peak ($120); previous warnings validated; trader's market now</t>
  </si>
  <si>
    <t xml:space="preserve">AI Agents / RAM (MU, SK Hynix, Samsung)</t>
  </si>
  <si>
    <t xml:space="preserve">Bullish (structural)</t>
  </si>
  <si>
    <t xml:space="preserve">AI agents booming - structurally increases RAM demand. Soft ceiling on RAM demand broken by new mass-market application. Cautious on stocks that have gone vertical but underlying revenue will be high for years. EM ETFs offer indirect exposure</t>
  </si>
  <si>
    <t xml:space="preserve">OpenClaw Moltbots going viral; Moltbook AI social media; RAM made by only 3 companies globally; Samsung/SK Hynix in MSCI EM</t>
  </si>
  <si>
    <t xml:space="preserve">Danny Dayan</t>
  </si>
  <si>
    <t xml:space="preserve">Substack</t>
  </si>
  <si>
    <t xml:space="preserve">https://substack.com/home/post/p-191024167</t>
  </si>
  <si>
    <t xml:space="preserve">Macro/Financial Conditions</t>
  </si>
  <si>
    <t xml:space="preserve">FCI Tightening</t>
  </si>
  <si>
    <t xml:space="preserve">Material FCI tightening from oil shock across all major components. If it continues, equities have material downside. Biggest oil supply shock of all time</t>
  </si>
  <si>
    <t xml:space="preserve">All FCI components tightening; 10y broke 1yr downtrend; rate vol (MOVE) repricing higher; negative oil-equity correlation</t>
  </si>
  <si>
    <t xml:space="preserve">Macro/Inflation</t>
  </si>
  <si>
    <t xml:space="preserve">US Inflation</t>
  </si>
  <si>
    <t xml:space="preserve">Bearish (rising)</t>
  </si>
  <si>
    <t xml:space="preserve">Core PCE 0.4% MoM (4.3% ann.)</t>
  </si>
  <si>
    <t xml:space="preserve">Broad-based inflation accelerating pre-war. Supercore PCE surging (3m at 4.8%). Core PCE 0.4% MoM. Tariff pass-through jumped 5%. Inflation breakevens at 2022 levels. Fed rate cuts were a policy mistake</t>
  </si>
  <si>
    <t xml:space="preserve">3 consecutive 0.4 core PCE prints (first time in 3 yrs); goods ex-cars surging; used car negative prints coming; component volatility rising</t>
  </si>
  <si>
    <t xml:space="preserve">Fed Policy</t>
  </si>
  <si>
    <t xml:space="preserve">Hawkish lean</t>
  </si>
  <si>
    <t xml:space="preserve">Dots to 1 cut for 2026</t>
  </si>
  <si>
    <t xml:space="preserve">Fed rate cuts were a policy mistake. Dots likely to move to 1 cut for 2026. Watch for any members penciling in hikes. Would be unwise for Fed to push back against hike pricing with breakevens surging</t>
  </si>
  <si>
    <t xml:space="preserve">SEP: small GDP downgrade, inflation upgrade; Powell's characterization of transitory vs concerned matters; emergency cut request from Trump rejected by market</t>
  </si>
  <si>
    <t xml:space="preserve">Back end to reprice to 90s-100s</t>
  </si>
  <si>
    <t xml:space="preserve">Biggest oil supply shock of all time. SPR release is 'band-aid for shark bite' (1.5MM bbl/d vs 15MM missing). No quick fix. Curves deeply backwardated. Back end should reprice higher. Insurance costs astronomical</t>
  </si>
  <si>
    <t xml:space="preserve">Oil reversed from 118 panic to 77 then rallied back to ~100; OPEC exports plunged; wells shut in take time to restart; SPR is one-time use</t>
  </si>
  <si>
    <t xml:space="preserve">S&amp;P 500</t>
  </si>
  <si>
    <t xml:space="preserve">Below 6MMA</t>
  </si>
  <si>
    <t xml:space="preserve">Bought deep OTM puts. Expects continued decline. Below 6MMA, not yet bottoming. Dealer gamma short (selling on declines). VIX positioning not capitulated. Bear market action</t>
  </si>
  <si>
    <t xml:space="preserve">Holding downside protection; hedged for weekend good news; momentum building downward; multi-strat degrossing for years</t>
  </si>
  <si>
    <t xml:space="preserve">Bearish (next trade)</t>
  </si>
  <si>
    <t xml:space="preserve">Dollar is best candidate for a reversal (downward). Shorts mostly cleaned up. Asian investors selling US assets. Any stimulus announcement likely to dump dollar hard. On radar for next trade</t>
  </si>
  <si>
    <t xml:space="preserve">EUR and AUD shorts not cleaned up; flows into US assets sold by Asian investors; stimulus would add to inflation</t>
  </si>
  <si>
    <t xml:space="preserve">Equities/EM</t>
  </si>
  <si>
    <t xml:space="preserve">India (INDA) &amp; China Tech (KWEB)</t>
  </si>
  <si>
    <t xml:space="preserve">Bullish (tactical)</t>
  </si>
  <si>
    <t xml:space="preserve">Nibbled on INDA and KWEB as tactical oversold plays. INDA too cheap and oversold across all metrics. KWEB momentum may have bottomed, deeply oversold vs 6MMA</t>
  </si>
  <si>
    <t xml:space="preserve">Tactical trades; watching for differentiation among international markets</t>
  </si>
  <si>
    <t xml:space="preserve">Rates/EUR</t>
  </si>
  <si>
    <t xml:space="preserve">ECB / EUR Rate Steepener</t>
  </si>
  <si>
    <t xml:space="preserve">Hawkish</t>
  </si>
  <si>
    <t xml:space="preserve">ERZ6/ERZ7 steepener</t>
  </si>
  <si>
    <t xml:space="preserve">ECB modelled Gulf war scenario in 2023: 2yr GDP drag, 3yr inflation impact. EUR 2y swaps up 45bps this month yet EURUSD down 3.5% (EM dynamic). Put on ERZ6/ERZ7 steepener. Expects hike pricing to shift from Z6 to Z7</t>
  </si>
  <si>
    <t xml:space="preserve">ECB single mandate (inflation); HICP pricing up; market pricing 1.5 hikes by year end; EUR weakness raises import inflation further</t>
  </si>
  <si>
    <t xml:space="preserve">2026-01-18</t>
  </si>
  <si>
    <t xml:space="preserve">Premium Report</t>
  </si>
  <si>
    <t xml:space="preserve">https://www.lynalden.com/premium-2026-1-18/</t>
  </si>
  <si>
    <t xml:space="preserve">Fed Balance Sheet</t>
  </si>
  <si>
    <t xml:space="preserve">Gradual expansion indefinitely</t>
  </si>
  <si>
    <t xml:space="preserve">Fed shifted from QT to balance sheet expansion; repo facility usage died down; bank reserves back over $3T; 'gradual print' base case continues</t>
  </si>
  <si>
    <t xml:space="preserve">Fed expanding BS + cutting rates = positive liquidity backdrop</t>
  </si>
  <si>
    <t xml:space="preserve">Macro/Policy</t>
  </si>
  <si>
    <t xml:space="preserve">Fed Chair Transition</t>
  </si>
  <si>
    <t xml:space="preserve">Powell leaves May 2026; Warsh front-runner</t>
  </si>
  <si>
    <t xml:space="preserve">DOJ investigation into Powell cooled off; Trump distanced himself; Bessent laid groundwork for smooth transition; Warsh more hawkish than Hassett</t>
  </si>
  <si>
    <t xml:space="preserve">Whoever replaces Powell will keep repo/Treasury markets liquid - nothing stops this train</t>
  </si>
  <si>
    <t xml:space="preserve">Macro/Economy</t>
  </si>
  <si>
    <t xml:space="preserve">US GDP</t>
  </si>
  <si>
    <t xml:space="preserve">Hot headline but misleading</t>
  </si>
  <si>
    <t xml:space="preserve">Atlanta Fed showing 5% annualized real GDP Q4 2025; driven by precious metals exports not real activity; two-speed economy persists</t>
  </si>
  <si>
    <t xml:space="preserve">Fiscal deficit spending and AI capex areas strong; lower/middle income struggling</t>
  </si>
  <si>
    <t xml:space="preserve">SC likely limits powers; admin finds workarounds</t>
  </si>
  <si>
    <t xml:space="preserve">Tariff revenue ~$30B/month; Polymarket 33% odds SC sides with Trump; 10% tariffs on Europe over Greenland; SC decision expected H1 2026</t>
  </si>
  <si>
    <t xml:space="preserve">Soft ceiling on tariffs rather than elimination; $300-400B/yr one of many macro swing factors</t>
  </si>
  <si>
    <t xml:space="preserve">Uranium</t>
  </si>
  <si>
    <t xml:space="preserve">Higher highs expected this cycle; $85/lb</t>
  </si>
  <si>
    <t xml:space="preserve">Breakout from consolidation; AI driving nuclear demand; Germany reversing anti-nuclear stance; supply/demand still tight; originally bullish at $29/lb in Oct 2020</t>
  </si>
  <si>
    <t xml:space="preserve">Supply story playing out + demand upgraded by AI power needs; small % of plant costs so utilities pay anything in shortage</t>
  </si>
  <si>
    <t xml:space="preserve">$97k; Nov 22 bottom likely in; 1-2yr view</t>
  </si>
  <si>
    <t xml:space="preserve">Six weeks of choppy sideways since Nov low; reached $97k new post-correction high; mNAV premiums washed out; tax-loss selling over in 2026</t>
  </si>
  <si>
    <t xml:space="preserve">Fed positive for liquidity + froth washed out + tax selling done = good foundation for price growth</t>
  </si>
  <si>
    <t xml:space="preserve">Emerging Markets (ITUB, CIB)</t>
  </si>
  <si>
    <t xml:space="preserve">Multi-year virtuous cycle thesis intact</t>
  </si>
  <si>
    <t xml:space="preserve">ITUB and CIB up tremendously since start of 2025; EM outperformance despite trade war; Fed cutting + dollar weakening = EM tailwind; India expected to do better in 2026</t>
  </si>
  <si>
    <t xml:space="preserve">LatAm financials outperforming during trade war validates thesis; capital flow virtuous cycle</t>
  </si>
  <si>
    <t xml:space="preserve">Gold/Silver</t>
  </si>
  <si>
    <t xml:space="preserve">Holding but not adding new capital</t>
  </si>
  <si>
    <t xml:space="preserve">Gold and silver made new ATHs; precious metals benefit from fiscal dominance + multipolar world; but sentiment extremely positive = risk of multi-month/year correction</t>
  </si>
  <si>
    <t xml:space="preserve">Risk/reward no longer asymmetric; sustained re-pricing not bubble, but overbought; platinum most interesting on relative basis</t>
  </si>
  <si>
    <t xml:space="preserve">DXY (US Dollar)</t>
  </si>
  <si>
    <t xml:space="preserve">Dollar weakening cycle supports EM thesis</t>
  </si>
  <si>
    <t xml:space="preserve">Fed cutting rates + expanding BS = dollar headwind; global capital stuffed into US at high valuations; multipolar world emerging</t>
  </si>
  <si>
    <t xml:space="preserve">Capital outflows from US toward EM could weaken dollar in virtuous/vicious cycle dynamic</t>
  </si>
  <si>
    <t xml:space="preserve">Platinum</t>
  </si>
  <si>
    <t xml:space="preserve">About half the price of gold; relatively cheap</t>
  </si>
  <si>
    <t xml:space="preserve">Hasn't recovered December highs but chart showing considerable strength; most interesting of precious metals on relative basis</t>
  </si>
  <si>
    <t xml:space="preserve">Relative value play vs gold; structural precious metals tailwinds still apply</t>
  </si>
  <si>
    <t xml:space="preserve">2026-03-10</t>
  </si>
  <si>
    <t xml:space="preserve">https://dannydayan.substack.com/p/the-perilous-state-of-fci</t>
  </si>
  <si>
    <t xml:space="preserve">Macro/FCI</t>
  </si>
  <si>
    <t xml:space="preserve">Financial Conditions</t>
  </si>
  <si>
    <t xml:space="preserve">Stagflationary dynamic building</t>
  </si>
  <si>
    <t xml:space="preserve">FCI models show mild stagflation: positive inflation impulses with stagnating growth impulses; Q2 GDP impulse weakest since 2019; inflation impulses on par with 2021 dynamics for Q2</t>
  </si>
  <si>
    <t xml:space="preserve">Growth impulses from equities fading Q2-Q4; dollar lags from prior tightening feeding negative GDP impulse for 3-4 quarters</t>
  </si>
  <si>
    <t xml:space="preserve">Neutral with bias to short</t>
  </si>
  <si>
    <t xml:space="preserve">SPX negative contributor to FCI (-1.3% 3mo return); equities close to triggering below 2nd CTA sell level; wealth effect fading; goldilocks period over</t>
  </si>
  <si>
    <t xml:space="preserve">Equities had special powers forward-looking; 3mo stagnation may reflect sensing stagnating growth impulses; risk of equity bear market rising</t>
  </si>
  <si>
    <t xml:space="preserve">Rates</t>
  </si>
  <si>
    <t xml:space="preserve">US 10Y Yield</t>
  </si>
  <si>
    <t xml:space="preserve">Bearish (higher yields)</t>
  </si>
  <si>
    <t xml:space="preserve">Short bonds cleaner trade for both growth and inflation scenarios</t>
  </si>
  <si>
    <t xml:space="preserve">Term premium falling + inflation premium rising = complex dynamics; real rates declining is growth negative; 10y dislocated from fair value keeping FCI loose</t>
  </si>
  <si>
    <t xml:space="preserve">Short bonds covers both stagflation scenarios; Fed unlikely to cut given inflation profile worsening</t>
  </si>
  <si>
    <t xml:space="preserve">Dollar starting to rally on Iran war + terms of trade shock</t>
  </si>
  <si>
    <t xml:space="preserve">Dollar turned from tightener to loosener at year-end but now showing signs of sharp rally; SPX/Dollar correl negative (equities like weak dollar); 10y/Dollar correl turned sharply positive</t>
  </si>
  <si>
    <t xml:space="preserve">Dollar rally would impose tightening on both growth and inflation; negative for risk assets per correlation</t>
  </si>
  <si>
    <t xml:space="preserve">Inflation</t>
  </si>
  <si>
    <t xml:space="preserve">Bearish (higher)</t>
  </si>
  <si>
    <t xml:space="preserve">Inflation expectations getting unanchored</t>
  </si>
  <si>
    <t xml:space="preserve">1y breakevens up 50bps this year; inflationary impulses sticky through Q2-Q3; tariffs raising prices without onshoring jobs; oil adding cost pressure</t>
  </si>
  <si>
    <t xml:space="preserve">Pushed back repeatedly against recession calls due to sticky inflation with upside risks; Fed rate cuts would be disaster given inflation profile</t>
  </si>
  <si>
    <t xml:space="preserve">Oil (Crude)</t>
  </si>
  <si>
    <t xml:space="preserve">Iran war driving oil higher; terms of trade shock</t>
  </si>
  <si>
    <t xml:space="preserve">Oil rally contributing to dollar strength and cost pressures; sharp fall from war resolution could be what's needed to improve growth impulses</t>
  </si>
  <si>
    <t xml:space="preserve">Oil is both a risk factor and potential resolution catalyst; crude extremely overbought technically but not a technical market</t>
  </si>
  <si>
    <t xml:space="preserve">Hawkish Hold</t>
  </si>
  <si>
    <t xml:space="preserve">Fed unlikely to rescue; inflation too sticky for cuts</t>
  </si>
  <si>
    <t xml:space="preserve">No sharp negative FCI impulse worsening growth profile to justify cuts; responding to stagnant growth + high inflation with rate cuts would be disaster</t>
  </si>
  <si>
    <t xml:space="preserve">Trump more likely to respond with fiscal stimulus (energy subsidies, tariff relief checks) given midterm calendar; dropping tariffs would help but unlikely</t>
  </si>
  <si>
    <t xml:space="preserve">2026-03-13</t>
  </si>
  <si>
    <t xml:space="preserve">https://dannydayan.substack.com/p/weekly-indicators-d99</t>
  </si>
  <si>
    <t xml:space="preserve">India (INDA)</t>
  </si>
  <si>
    <t xml:space="preserve">2.8 sigma cheap; largest dislocation in 10 years; bought some</t>
  </si>
  <si>
    <t xml:space="preserve">INDA 2.8 standard deviations cheap vs model; largest dislocation in 10 years; 2 sigma oversold in composite technical indicator</t>
  </si>
  <si>
    <t xml:space="preserve">Model dislocation + technical oversold = high conviction buy</t>
  </si>
  <si>
    <t xml:space="preserve">XLF / XHB (Financials/Homebuilders)</t>
  </si>
  <si>
    <t xml:space="preserve">Watchlist</t>
  </si>
  <si>
    <t xml:space="preserve">Getting dislocated; on shopping list</t>
  </si>
  <si>
    <t xml:space="preserve">XLF and XHB model dislocations increasing; oversold on RSI; should be on shopping list once good news arrives</t>
  </si>
  <si>
    <t xml:space="preserve">Not buying yet but models flagging opportunity building</t>
  </si>
  <si>
    <t xml:space="preserve">AUD</t>
  </si>
  <si>
    <t xml:space="preserve">Most interesting FX dislocation to fade dollar strength</t>
  </si>
  <si>
    <t xml:space="preserve">Dollar continues to get richer vs fair value but harder to fade; AUD looks most interesting on model basis</t>
  </si>
  <si>
    <t xml:space="preserve">Relative value play against overvalued dollar</t>
  </si>
  <si>
    <t xml:space="preserve">Overbought</t>
  </si>
  <si>
    <t xml:space="preserve">Extremely overbought technically; not a technical market</t>
  </si>
  <si>
    <t xml:space="preserve">Large and small specs buying crude heavily; commercials selling; large nat gas buying by specs as well</t>
  </si>
  <si>
    <t xml:space="preserve">Positioning crowded but driven by fundamental/geopolitical factors not technicals</t>
  </si>
  <si>
    <t xml:space="preserve">2026-03-17</t>
  </si>
  <si>
    <t xml:space="preserve">https://dannydayan.substack.com/p/crypto-update-447</t>
  </si>
  <si>
    <t xml:space="preserve">Neutral (model)</t>
  </si>
  <si>
    <t xml:space="preserve">BTC at 80.2k model value; 7.2% rich; no signal</t>
  </si>
  <si>
    <t xml:space="preserve">BTC broke above 71.2k key level; next resistance 84.2k; model value 80.2k; 1.1 Z-Score below 1.5 threshold for signal; large spec positioning long since fall 2023; momentum surging above 0</t>
  </si>
  <si>
    <t xml:space="preserve">No directional signal but technicals and outperformance vs QQQ (+17% this month) and Gold (+19%) are appealing</t>
  </si>
  <si>
    <t xml:space="preserve">ETH</t>
  </si>
  <si>
    <t xml:space="preserve">Neutral (slight rich)</t>
  </si>
  <si>
    <t xml:space="preserve">ETH fair value 2152; 7.5% rich; no signal</t>
  </si>
  <si>
    <t xml:space="preserve">ETH model value 2152; 7.5% rich vs model; falls just shy of 10% signal level; large specs trimming unlike BTC; momentum surging above 0 from oversold</t>
  </si>
  <si>
    <t xml:space="preserve">RV trade: long BTC vs ETH makes sense given positioning divergence</t>
  </si>
  <si>
    <t xml:space="preserve">2026-03-18</t>
  </si>
  <si>
    <t xml:space="preserve">https://dannydayan.substack.com/p/neutrality</t>
  </si>
  <si>
    <t xml:space="preserve">No cuts; potential hike pricing</t>
  </si>
  <si>
    <t xml:space="preserve">Fed was already well below neutral rate before 5th supply shock. 175bps of cuts were a policy mistake. Inflation has been above target for almost 6 years with elevated expectations. Fed correctly held rates; should not cut despite market pressure</t>
  </si>
  <si>
    <t xml:space="preserve">5th supply shock in recent years; 6 years above inflation target; elevated inflation expectations; 175bps already cut; service-sector inflation dangerously high</t>
  </si>
  <si>
    <t xml:space="preserve">New supply shock will raise inflation further. Textbook says treat as transitory but this is the 5th supply shock and inflation expectations already unanchored. Inflation will resurface in many forms over the next year. If Fed cuts too soon, not ready for what comes next</t>
  </si>
  <si>
    <t xml:space="preserve">5th supply shock; nearly 6 years above target; elevated expectations; service sector inflation dangerously high; prior cuts added fuel</t>
  </si>
  <si>
    <t xml:space="preserve">With Fed below neutral and supply shock raising inflation, bonds should sell off. Short bonds remains the cleaner trade. Fed holding rates validates higher-for-longer yield environment</t>
  </si>
  <si>
    <t xml:space="preserve">Fed held rates Mar 18; supply shock inflationary; neutral rate debate suggests policy still accommodative</t>
  </si>
  <si>
    <t xml:space="preserve">2026-03-20</t>
  </si>
  <si>
    <t xml:space="preserve">Weekly Indicators</t>
  </si>
  <si>
    <t xml:space="preserve">https://dannydayan.substack.com/p/weekly-indicators-90e</t>
  </si>
  <si>
    <t xml:space="preserve">Bearish (tactical cover)</t>
  </si>
  <si>
    <t xml:space="preserve">Extreme oversold; momentum falling off cliff</t>
  </si>
  <si>
    <t xml:space="preserve">Took off equity shorts Friday on extreme oversold conditions, but momentum falling off a cliff - rallies should be sold</t>
  </si>
  <si>
    <t xml:space="preserve">SPX 3-month return -5%; oversold technicals triggered short cover; positioning indicators at extremes</t>
  </si>
  <si>
    <t xml:space="preserve">Tightening</t>
  </si>
  <si>
    <t xml:space="preserve">FCI tightening 3rd straight week</t>
  </si>
  <si>
    <t xml:space="preserve">FCI tightening creates more inflation impulse than dampener; stocks most important variable for US FCI</t>
  </si>
  <si>
    <t xml:space="preserve">FCI tightening 3 consecutive weeks; equity channel driving tightening</t>
  </si>
  <si>
    <t xml:space="preserve">Macro/Labor</t>
  </si>
  <si>
    <t xml:space="preserve">US Employment</t>
  </si>
  <si>
    <t xml:space="preserve">Neutral (resilient)</t>
  </si>
  <si>
    <t xml:space="preserve">NSA claims 189k</t>
  </si>
  <si>
    <t xml:space="preserve">Job-related data continues solid with NSA claims falling to 189k, boding well for next NFP report</t>
  </si>
  <si>
    <t xml:space="preserve">NSA claims 189k on the week; labor market holding up despite macro headwinds</t>
  </si>
  <si>
    <t xml:space="preserve">Oil (WTI)</t>
  </si>
  <si>
    <t xml:space="preserve">Range-bound</t>
  </si>
  <si>
    <t xml:space="preserve">$80 resistance (failed 7th time)</t>
  </si>
  <si>
    <t xml:space="preserve">Oil failed at $80 for 7th time in recent months despite supportive fundamentals; key resistance level holding</t>
  </si>
  <si>
    <t xml:space="preserve">Oil failed at $80 resistance 7 times; technically overbought but fundamentally supported</t>
  </si>
  <si>
    <t xml:space="preserve">2026-03-22</t>
  </si>
  <si>
    <t xml:space="preserve">https://dannydayan.substack.com/p/the-rhyme</t>
  </si>
  <si>
    <t xml:space="preserve">US Inflation (2nd Wave)</t>
  </si>
  <si>
    <t xml:space="preserve">5yr nominals up, real rates still down YTD</t>
  </si>
  <si>
    <t xml:space="preserve">Second inflation shock always worse than first (1970s rhyme). Oil crisis deepening: war + oil shock + tariffs = second inflation wave. Rate cuts left economy too loose and vulnerable</t>
  </si>
  <si>
    <t xml:space="preserve">Oil shock bleeds into jet fuel, fertilizer, transport costs; FCI tightening via inflation not rates; 1y BEs elevated</t>
  </si>
  <si>
    <t xml:space="preserve">US 10Y / SOFR Z7</t>
  </si>
  <si>
    <t xml:space="preserve">Bearish (short bonds)</t>
  </si>
  <si>
    <t xml:space="preserve">Short 10Y Treasuries; short SOFR Z7 via options</t>
  </si>
  <si>
    <t xml:space="preserve">Short bonds for higher yields; second inflation wave means rates staying high or going higher. SOFR Z7 shorts via options for carry</t>
  </si>
  <si>
    <t xml:space="preserve">5yr nominal rates up but real rates down = market pricing higher inflation not tighter policy; 1970s parallel</t>
  </si>
  <si>
    <t xml:space="preserve">Oil (Tactical)</t>
  </si>
  <si>
    <t xml:space="preserve">Bullish (buy dips)</t>
  </si>
  <si>
    <t xml:space="preserve">Buy dips, take profits after 5-10% pops</t>
  </si>
  <si>
    <t xml:space="preserve">Tactically buying oil on dips and taking profits after 5-10% pops. Oil crisis deepening with 1970s echoes</t>
  </si>
  <si>
    <t xml:space="preserve">War + Strait of Hormuz + supply shock; oil shock broader than just crude (jet fuel, fertilizer, transport)</t>
  </si>
  <si>
    <t xml:space="preserve">Bearish (sell rallies)</t>
  </si>
  <si>
    <t xml:space="preserve">3-month return -5%</t>
  </si>
  <si>
    <t xml:space="preserve">Covered shorts on extreme oversold but momentum falling off cliff. Rallies should be sold. Stocks most important US FCI variable</t>
  </si>
  <si>
    <t xml:space="preserve">SPX -5% 3M return; stagflation headwinds; FCI tightening via equity channel</t>
  </si>
  <si>
    <t xml:space="preserve">Rate cut cycle was misplaced - left economy too loose and vulnerable to supply shocks. Fed cannot cut with second inflation wave building</t>
  </si>
  <si>
    <t xml:space="preserve">Globally coordinated rate cuts pursued soft landing but created vulnerability to tariffs + oil shock; 1970s Burns/Miller mistake</t>
  </si>
  <si>
    <t xml:space="preserve">2026-01-28</t>
  </si>
  <si>
    <t xml:space="preserve">Alexander Campbell</t>
  </si>
  <si>
    <t xml:space="preserve">https://www.campbellramble.ai/p/dollar-doomers-missing-the-point</t>
  </si>
  <si>
    <t xml:space="preserve">Dollar bears missing the point; US capital markets + military backing = reserve status resilient; crypto re-dollarization in EM</t>
  </si>
  <si>
    <t xml:space="preserve">Tether $40B→$200B+ driven by EM users seeking dollar access; US = most attractive capital market globally</t>
  </si>
  <si>
    <t xml:space="preserve">S&amp;P 500 / US Equities</t>
  </si>
  <si>
    <t xml:space="preserve">Robot model marginally short stocks; higher real yields + persistent inflation + weak asset price action driving signal</t>
  </si>
  <si>
    <t xml:space="preserve">Quant model signals: negative flow-through from higher spreads, real yields, inflation</t>
  </si>
  <si>
    <t xml:space="preserve">US Bonds (aggregate)</t>
  </si>
  <si>
    <t xml:space="preserve">Robot model marginally short bonds; higher yields environment</t>
  </si>
  <si>
    <t xml:space="preserve">Quant model: short bonds along with stocks as inflation persists</t>
  </si>
  <si>
    <t xml:space="preserve">Gold / Silver</t>
  </si>
  <si>
    <t xml:space="preserve">Neutral-to-Bullish</t>
  </si>
  <si>
    <t xml:space="preserve">Gold/silver as portfolio diversifiers; long gold ≈ partial short dollar, but useful hedge</t>
  </si>
  <si>
    <t xml:space="preserve">Silver SLV butterfly spreads in portfolio (from 26 Views for 2026)</t>
  </si>
  <si>
    <t xml:space="preserve">2026-02-04</t>
  </si>
  <si>
    <t xml:space="preserve">https://www.campbellramble.ai/p/the-air-pocket</t>
  </si>
  <si>
    <t xml:space="preserve">US Tech / S&amp;P 500</t>
  </si>
  <si>
    <t xml:space="preserve">AI Air Pocket: hyperscaler capex = fewer buybacks + more debt issuance; financial buyers tired of capex before revenues; equity headwind even if AI thesis correct</t>
  </si>
  <si>
    <t xml:space="preserve">Mag-7 capex cycle financing shift; software stocks -30% from highs in bear market</t>
  </si>
  <si>
    <t xml:space="preserve">Software / SaaS Sector</t>
  </si>
  <si>
    <t xml:space="preserve">Agentic AI poses existential threat to enterprise software category; structural disruption accelerating faster than expected</t>
  </si>
  <si>
    <t xml:space="preserve">Salesforce, ServiceNow, Adobe -25-30% YTD; iShares Software ETF -20%; Anthropic Claude updates displacing SaaS workflows</t>
  </si>
  <si>
    <t xml:space="preserve">2026-02-05</t>
  </si>
  <si>
    <t xml:space="preserve">https://www.campbellramble.ai/p/flash-crash</t>
  </si>
  <si>
    <t xml:space="preserve">Silver (SLV)</t>
  </si>
  <si>
    <t xml:space="preserve">Silver flash crash driven by forced Chinese liquidation, not systemic risk; gold flat = no broad risk-off; creates tactical opportunity post-liquidation</t>
  </si>
  <si>
    <t xml:space="preserve">Gold-silver spread disconnection: gold flat while silver crashed; forced seller thesis (not short-vol event)</t>
  </si>
  <si>
    <t xml:space="preserve">2026-02-13</t>
  </si>
  <si>
    <t xml:space="preserve">https://www.campbellramble.ai/p/crowded-confused-cranky</t>
  </si>
  <si>
    <t xml:space="preserve">US Equities / Risk Assets</t>
  </si>
  <si>
    <t xml:space="preserve">Crowded positioning — BTC selling with CRE, silver with stocks = everyone positioned the same way; de-risking likely</t>
  </si>
  <si>
    <t xml:space="preserve">Cross-asset correlations breaking down normally; AI displacement accelerating in 2026 earlier than expected</t>
  </si>
  <si>
    <t xml:space="preserve">https://www.campbellramble.ai/p/all-eyes-on-hormuz</t>
  </si>
  <si>
    <t xml:space="preserve">Iran conflict → Hormuz threat = direct risk to 20% of global oil supply; three key variables: Strait closure, infrastructure damage, OPEC+ response</t>
  </si>
  <si>
    <t xml:space="preserve">~20% of global oil transits Hormuz; Iraq, Kuwait, UAE, Saudi Arabia export routes threatened</t>
  </si>
  <si>
    <t xml:space="preserve">Gold</t>
  </si>
  <si>
    <t xml:space="preserve">War outbreak = safe haven bid; geopolitical uncertainty premium gets priced in</t>
  </si>
  <si>
    <t xml:space="preserve">Iran escalation on March 1 = direct military conflict; gold as geopolitical hedge</t>
  </si>
  <si>
    <t xml:space="preserve">Iran conflict adds equity headwinds via oil shock + supply chain disruption</t>
  </si>
  <si>
    <t xml:space="preserve">Energy cost shock transmits to corporate margins; uncertainty premium = multiple compression</t>
  </si>
  <si>
    <t xml:space="preserve">2026-03-03</t>
  </si>
  <si>
    <t xml:space="preserve">https://www.campbellramble.ai/p/the-regret-trade</t>
  </si>
  <si>
    <t xml:space="preserve">Oil / Energy Producers</t>
  </si>
  <si>
    <t xml:space="preserve">Long energy: Iran deepening = persistent Hormuz risk + supply disruption; oil is core geopolitical hedge; explicit portfolio position</t>
  </si>
  <si>
    <t xml:space="preserve">Saudi-Israel normalization accelerating (Saudi needs security rationale); production + transit disruption ongoing</t>
  </si>
  <si>
    <t xml:space="preserve">Initial gold selling was forced liquidation of recent winners (regret trade); structural geopolitical safe haven demand returns</t>
  </si>
  <si>
    <t xml:space="preserve">Regret trade = investors repricing war duration expectations; gold dip = tactical buy opportunity</t>
  </si>
  <si>
    <t xml:space="preserve">S&amp;P 500 / Global Equities</t>
  </si>
  <si>
    <t xml:space="preserve">Oil shock + credit stress + AI air pocket = multiple equity headwinds; regret trade repricing downward; sell rallies</t>
  </si>
  <si>
    <t xml:space="preserve">Dollar up, oil up, stocks down = classic stagflationary risk-off; structural issues compound tactical</t>
  </si>
  <si>
    <t xml:space="preserve">Dollar safe haven bid in war shock; USD up as global uncertainty spikes</t>
  </si>
  <si>
    <t xml:space="preserve">Classic war shock = dollar bid alongside oil; structural reserve currency demand</t>
  </si>
  <si>
    <t xml:space="preserve">2026-03-09</t>
  </si>
  <si>
    <t xml:space="preserve">https://www.campbellramble.ai/p/watch-credit</t>
  </si>
  <si>
    <t xml:space="preserve">Credit</t>
  </si>
  <si>
    <t xml:space="preserve">Private Credit / Corporate Credit</t>
  </si>
  <si>
    <t xml:space="preserve">AI-related private credit is the next shoe to drop; 2001 telecom analogy; $200B+ BIS estimate at risk as software companies face AI disruption</t>
  </si>
  <si>
    <t xml:space="preserve">BIS: $200B+ private credit to AI cos = 10-20% of total AI debt; UBS baseline: $75-120B fresh defaults by end 2026; software stocks -30%</t>
  </si>
  <si>
    <t xml:space="preserve">Credit tightening = capex cycle breaks = earnings headwinds; feedback loop: credit stress → equity bear market</t>
  </si>
  <si>
    <t xml:space="preserve">Private credit to AI cos cracking; UBS: default rates up to 4% for private credit by end 2026; volatility laundering in illiquid assets</t>
  </si>
  <si>
    <t xml:space="preserve">2026-03-23</t>
  </si>
  <si>
    <t xml:space="preserve">https://www.campbellramble.ai/p/war-for-the-dollar</t>
  </si>
  <si>
    <t xml:space="preserve">Long energy — explicit portfolio position; Iran war = persistent Hormuz risk + supply disruption; energy is core geopolitical hedge</t>
  </si>
  <si>
    <t xml:space="preserve">Iran weeks from nuclear capability; ballistic missiles in air; Hormuz under threat; Saudi-Gulf states mobilizing</t>
  </si>
  <si>
    <t xml:space="preserve">Long gold — explicit portfolio position; war on dollar thesis; geopolitical safe haven + reserve currency erosion risk</t>
  </si>
  <si>
    <t xml:space="preserve">Iran explicitly calling for countries to dump USD; gold as hedge vs de-dollarization + war uncertainty</t>
  </si>
  <si>
    <t xml:space="preserve">Contrarian (vs recent regret-trade selling)</t>
  </si>
  <si>
    <t xml:space="preserve">Credit (Corporate/Private)</t>
  </si>
  <si>
    <t xml:space="preserve">Short credit — explicit portfolio position; AI private credit bust + oil shock impact on overleveraged corporate sector</t>
  </si>
  <si>
    <t xml:space="preserve">Oil shock tightens corporate margins; private credit stress from AI disruption; two compounding credit headwinds</t>
  </si>
  <si>
    <t xml:space="preserve">Skeptical of 1.5% ceasefire rally; structural headwinds (credit stress, oil shock, AI air pocket) persist; sell rallies</t>
  </si>
  <si>
    <t xml:space="preserve">Trump declared war over → 1.5% SPX rally but escalatory talk resumed over weekend; structural issues unchanged</t>
  </si>
  <si>
    <t xml:space="preserve">Dollar faces war on reserve currency status but structural capital market advantages persist; net neutral complex picture</t>
  </si>
  <si>
    <t xml:space="preserve">Iran calling for dollar dump; but Tether re-dollarization + capital market attractiveness remain; not dollar collapse</t>
  </si>
  <si>
    <t xml:space="preserve">Inflation Trajectory</t>
  </si>
  <si>
    <t xml:space="preserve">Bearish (Higher)</t>
  </si>
  <si>
    <t xml:space="preserve">Oil shock from Iran + supply chain fragmentation from geopolitical realignment = persistent elevated inflation</t>
  </si>
  <si>
    <t xml:space="preserve">Hormuz conflict = energy cost spike bleeding into broad inflation; death of globalism accelerating supply fragmentation</t>
  </si>
  <si>
    <t xml:space="preserve">2026-02-02</t>
  </si>
  <si>
    <t xml:space="preserve">Macro Ops</t>
  </si>
  <si>
    <t xml:space="preserve">https://research.macro-ops.com/p/a-warsh-washout</t>
  </si>
  <si>
    <t xml:space="preserve">Bearish (Tactical)</t>
  </si>
  <si>
    <t xml:space="preserve">Sub -7% correction</t>
  </si>
  <si>
    <t xml:space="preserve">Breakout failure + hawkish Warsh + High Trend Fragility = sentiment washout; breadth still ok</t>
  </si>
  <si>
    <t xml:space="preserve">BofA Bull-Bear sell signal; Warsh nomination = hawkish surprise; high Trend Fragility</t>
  </si>
  <si>
    <t xml:space="preserve">Closed</t>
  </si>
  <si>
    <t xml:space="preserve">Energy / E&amp;P</t>
  </si>
  <si>
    <t xml:space="preserve">$55-57 WTI double bottom</t>
  </si>
  <si>
    <t xml:space="preserve">Trifecta setup: bearish sentiment, accelerating global growth, WTI double bottom technical</t>
  </si>
  <si>
    <t xml:space="preserve">WTI double bottom at $55-57; buy stop entered Dec 17 2025 at $56.95; E&amp;P relative strength</t>
  </si>
  <si>
    <t xml:space="preserve">Oil ran to $100+</t>
  </si>
  <si>
    <t xml:space="preserve">T-Bonds (Long End)</t>
  </si>
  <si>
    <t xml:space="preserve">Higher yields; curve steepen</t>
  </si>
  <si>
    <t xml:space="preserve">Short T-bonds on; H2 stagflation risk from commodity + oil shock = structurally higher long yields</t>
  </si>
  <si>
    <t xml:space="preserve">H2 stagflation risk rising; bonds precarious; energy names showing strength</t>
  </si>
  <si>
    <t xml:space="preserve">2026-02-07</t>
  </si>
  <si>
    <t xml:space="preserve">https://research.macro-ops.com/p/execute-with-a-racing-heart</t>
  </si>
  <si>
    <t xml:space="preserve">Equal-weight / Selective</t>
  </si>
  <si>
    <t xml:space="preserve">New highs equal-weight</t>
  </si>
  <si>
    <t xml:space="preserve">Quality setups proliferating; breakouts following through; cap-weighted stalled by Mag-7 but equal-weight making new highs</t>
  </si>
  <si>
    <t xml:space="preserve">Equal-weight S&amp;P trending to new highs; Mag-7 dragging cap-weight; industrials/materials/REITs best setups</t>
  </si>
  <si>
    <t xml:space="preserve">2026-02-12</t>
  </si>
  <si>
    <t xml:space="preserve">https://research.macro-ops.com/p/february-2026-rs-inflection-report</t>
  </si>
  <si>
    <t xml:space="preserve">Oil &amp; Gas / Energy</t>
  </si>
  <si>
    <t xml:space="preserve">Strongly Bullish</t>
  </si>
  <si>
    <t xml:space="preserve">50%+ portfolio weight target</t>
  </si>
  <si>
    <t xml:space="preserve">#1 RS Thematic; all Trifecta Lens criteria met; targeting 50%+ portfolio O&amp;G weighting</t>
  </si>
  <si>
    <t xml:space="preserve">RS Composite + Inflection Score both top-ranked; Trifecta confirmed; Iran adds upside catalyst</t>
  </si>
  <si>
    <t xml:space="preserve">https://research.macro-ops.com/p/when-markets-move-on-violence</t>
  </si>
  <si>
    <t xml:space="preserve">Flat equity book</t>
  </si>
  <si>
    <t xml:space="preserve">Completely flattened equity book on Iran conflict outbreak; market is 'bad table' with too many unknowns</t>
  </si>
  <si>
    <t xml:space="preserve">9 weeks of elevated portfolio activity = 'usually means we're starting to top'; Iran = headline risk chaos</t>
  </si>
  <si>
    <t xml:space="preserve">https://research.macro-ops.com/p/deflatoinary-ai-meets-commodity-bull</t>
  </si>
  <si>
    <t xml:space="preserve">Commodities (Broad / BBG Index)</t>
  </si>
  <si>
    <t xml:space="preserve">Commodity bull playbook</t>
  </si>
  <si>
    <t xml:space="preserve">Cyclical commodity bull thesis: PMs done → Industrial Metals ongoing → Energy now → Agriculture next; long BBG Commodity Index</t>
  </si>
  <si>
    <t xml:space="preserve">Trifecta confirmed across commodity complex; AI deflation drives rotation from financial to real assets</t>
  </si>
  <si>
    <t xml:space="preserve">$100+ target / Hormuz premium</t>
  </si>
  <si>
    <t xml:space="preserve">Long oil futures and calls; Strait of Hormuz closure risk materially changes supply picture; Trifecta confirmed</t>
  </si>
  <si>
    <t xml:space="preserve">Hormuz crossings -70%; $100 already breached; Trifecta: technical double bottom + macro bull + bearish positioning</t>
  </si>
  <si>
    <t xml:space="preserve">Wheat (KC HRW)</t>
  </si>
  <si>
    <t xml:space="preserve">Agricultural rotation</t>
  </si>
  <si>
    <t xml:space="preserve">Long Kansas City Hard Red Winter Wheat as first Agriculture leg of commodity bull playbook</t>
  </si>
  <si>
    <t xml:space="preserve">Commodity bull progression: Energy (now) → Agriculture (next); KC HRW in portfolio</t>
  </si>
  <si>
    <t xml:space="preserve">Strongly Bearish</t>
  </si>
  <si>
    <t xml:space="preserve">Curve steepen; short T-bonds</t>
  </si>
  <si>
    <t xml:space="preserve">Short T-bonds on; small spec longs at record high; commodity bull + stagflation = structurally higher long yields</t>
  </si>
  <si>
    <t xml:space="preserve">Small spec record longs in bonds; 'record longs, record wrong'; stagflation H2 = no rate cuts</t>
  </si>
  <si>
    <t xml:space="preserve">Nasdaq / NQ</t>
  </si>
  <si>
    <t xml:space="preserve">Short NQ futures</t>
  </si>
  <si>
    <t xml:space="preserve">Short NQ futures; deflationary AI disrupts tech multiples; equity book flat; real assets outperform financial assets</t>
  </si>
  <si>
    <t xml:space="preserve">AI deflation reduces software moats; rotation from financial to real assets underway; NQ lagging commodities</t>
  </si>
  <si>
    <t xml:space="preserve">https://research.macro-ops.com/p/record-longs-record-wrong</t>
  </si>
  <si>
    <t xml:space="preserve">US 10Y Yield (direction)</t>
  </si>
  <si>
    <t xml:space="preserve">Bullish (Higher)</t>
  </si>
  <si>
    <t xml:space="preserve">Small spec record longs = mean revert</t>
  </si>
  <si>
    <t xml:space="preserve">Record small spec longs in bonds = extreme crowded trade; fade the crowd = higher yields ahead</t>
  </si>
  <si>
    <t xml:space="preserve">CFTC commitment of traders: small specs at all-time high net long; Commercials at record short; classic contrarian signal</t>
  </si>
  <si>
    <t xml:space="preserve">Neutral / Cautious</t>
  </si>
  <si>
    <t xml:space="preserve">Crowded trade washout risk</t>
  </si>
  <si>
    <t xml:space="preserve">Gold trade is crowded — CB buying + geopolitical hedging + debasement all converging; washout risk like bonds</t>
  </si>
  <si>
    <t xml:space="preserve">Central bank buying narrative crowded; FINRA margin elevated; gold selloff already started March 2026</t>
  </si>
  <si>
    <t xml:space="preserve">https://research.macro-ops.com/p/february-2026-thematic-inflection-report</t>
  </si>
  <si>
    <t xml:space="preserve">50%+ portfolio allocation</t>
  </si>
  <si>
    <t xml:space="preserve">#1 thematic confirmed; Trifecta all green; Iran conflict adds near-term catalyst on top of structural bull</t>
  </si>
  <si>
    <t xml:space="preserve">RS Inflection Score top-ranked for 2nd month; all Trifecta criteria met; Iran Hormuz = near-term upside spike catalyst</t>
  </si>
  <si>
    <t xml:space="preserve">2026-03-21</t>
  </si>
  <si>
    <t xml:space="preserve">https://research.macro-ops.com/p/paradigm-shift-meet-complacency</t>
  </si>
  <si>
    <t xml:space="preserve">No entry; market is 'bad table'</t>
  </si>
  <si>
    <t xml:space="preserve">Dot-com level valuations with higher earnings base; FINRA margin at ATH; paradigm shift = rotation from financial to real assets</t>
  </si>
  <si>
    <t xml:space="preserve">FINRA Margin/CiC at ATH; STAX (Schwab sentiment) at 4-yr high; Jan retail buying record; dot-com valuation parallel</t>
  </si>
  <si>
    <t xml:space="preserve">https://research.macro-ops.com/p/iran-in-the-crosshairs-the-situation</t>
  </si>
  <si>
    <t xml:space="preserve">$100+ target; prolonged premium</t>
  </si>
  <si>
    <t xml:space="preserve">Strait of Hormuz -70% crossings; IRGC regime change = no quick off-ramp; prolonged disruption premium justified</t>
  </si>
  <si>
    <t xml:space="preserve">Hormuz crossings -70%; $100 already breached; IRGC shadow networks; Israel maximalist; US coordination chaos</t>
  </si>
  <si>
    <t xml:space="preserve">2026-01-22</t>
  </si>
  <si>
    <t xml:space="preserve">https://dannydayan.substack.com/p/the-new-contender</t>
  </si>
  <si>
    <t xml:space="preserve">Fed Chair Race</t>
  </si>
  <si>
    <t xml:space="preserve">Neutral/Analytical</t>
  </si>
  <si>
    <t xml:space="preserve">Fed chair race between Warsh and Reider; Reider as BlackRock CIO managing $2.4-2.7T; TBAC member; policy implications analyzed</t>
  </si>
  <si>
    <t xml:space="preserve">Warsh vs Reider; BlackRock fixed income $2.4-2.7T</t>
  </si>
  <si>
    <t xml:space="preserve">https://dannydayan.substack.com/p/shock-by-appointment</t>
  </si>
  <si>
    <t xml:space="preserve">Fed Policy (Warsh)</t>
  </si>
  <si>
    <t xml:space="preserve">New Fed Chair Kevin Warsh appointed; signals potentially more hawkish monetary policy direction</t>
  </si>
  <si>
    <t xml:space="preserve">Warsh appointment confirmed</t>
  </si>
  <si>
    <t xml:space="preserve">https://dannydayan.substack.com/p/tech-musings</t>
  </si>
  <si>
    <t xml:space="preserve">Tech/QQQ</t>
  </si>
  <si>
    <t xml:space="preserve">Bullish (frustrated)</t>
  </si>
  <si>
    <t xml:space="preserve">Wanted long tech for earnings on strong AI demand/CAPEX; fundamental thesis played out but market not participating; stuck in range</t>
  </si>
  <si>
    <t xml:space="preserve">AI demand/CAPEX stronger than expected; market range-bound despite strong fundamentals</t>
  </si>
  <si>
    <t xml:space="preserve">https://dannydayan.substack.com/p/deleveraging</t>
  </si>
  <si>
    <t xml:space="preserve">Macro/Risk</t>
  </si>
  <si>
    <t xml:space="preserve">Risk Sentiment</t>
  </si>
  <si>
    <t xml:space="preserve">Bearish / De-risk</t>
  </si>
  <si>
    <t xml:space="preserve">Broad deleveraging across crypto, stocks, metals; levered positions under attack; dangerous environment; de-risk warning</t>
  </si>
  <si>
    <t xml:space="preserve">Deleveraging visible across all asset classes simultaneously</t>
  </si>
  <si>
    <t xml:space="preserve">Bitcoin/Crypto</t>
  </si>
  <si>
    <t xml:space="preserve">Bearish (deleveraging)</t>
  </si>
  <si>
    <t xml:space="preserve">Crypto caught in broad deleveraging wave; levered positions being unwound</t>
  </si>
  <si>
    <t xml:space="preserve">Part of cross-asset deleveraging event</t>
  </si>
  <si>
    <t xml:space="preserve">2026-02-08</t>
  </si>
  <si>
    <t xml:space="preserve">https://dannydayan.substack.com/p/the-good-the-bad-and-the-ugly</t>
  </si>
  <si>
    <t xml:space="preserve">US Manufacturing</t>
  </si>
  <si>
    <t xml:space="preserve">ISM 52.5</t>
  </si>
  <si>
    <t xml:space="preserve">ISM Mfg recovered above 50 at 52.5; new orders change strongest in 25 yrs outside pandemic; trucking tight capacity; heavy truck sales early-cycle recovery</t>
  </si>
  <si>
    <t xml:space="preserve">ISM 52.5 vs expectations; new orders strongest change in 25 yrs; trucking rejection rates surging</t>
  </si>
  <si>
    <t xml:space="preserve">US Labor Market</t>
  </si>
  <si>
    <t xml:space="preserve">JOLTs job openings fell substantially; contributed to market panic; divergence between manufacturing strength and labor softness</t>
  </si>
  <si>
    <t xml:space="preserve">JOLTs substantial decline; panic move in markets</t>
  </si>
  <si>
    <t xml:space="preserve">2026-02-10</t>
  </si>
  <si>
    <t xml:space="preserve">https://dannydayan.substack.com/p/crypto-regime-change</t>
  </si>
  <si>
    <t xml:space="preserve">Neutral (stopout)</t>
  </si>
  <si>
    <t xml:space="preserve">Last BTC signal was a stopout; strategy at 14/21 hit rate since live trading; model cautious</t>
  </si>
  <si>
    <t xml:space="preserve">BTC stopout; 14/21 hit rate</t>
  </si>
  <si>
    <t xml:space="preserve">Ethereum</t>
  </si>
  <si>
    <t xml:space="preserve">Bullish (signal)</t>
  </si>
  <si>
    <t xml:space="preserve">New ETH signal triggered Friday; ETH model now 3/3 on trades; outperforming BTC model</t>
  </si>
  <si>
    <t xml:space="preserve">ETH signal 3/3 hit rate</t>
  </si>
  <si>
    <t xml:space="preserve">https://dannydayan.substack.com/p/tightening</t>
  </si>
  <si>
    <t xml:space="preserve">Bullish (too hot)</t>
  </si>
  <si>
    <t xml:space="preserve">Economy growing well above capacity; across-the-board NFP strength; tightening theme as strong growth prevents Fed cuts</t>
  </si>
  <si>
    <t xml:space="preserve">Broad NFP strength; above-capacity growth</t>
  </si>
  <si>
    <t xml:space="preserve">Strong economy and above-capacity growth means Fed cannot cut; financial conditions tightening</t>
  </si>
  <si>
    <t xml:space="preserve">Above-capacity growth; FCI tightening</t>
  </si>
  <si>
    <t xml:space="preserve">2026-02-17</t>
  </si>
  <si>
    <t xml:space="preserve">https://dannydayan.substack.com/p/crypto-model-updates-fb3</t>
  </si>
  <si>
    <t xml:space="preserve">Bearish/Cautious</t>
  </si>
  <si>
    <t xml:space="preserve">Below 71.2k resistance</t>
  </si>
  <si>
    <t xml:space="preserve">Model values falling sharply; cautious stance preferred; BTC bounced from 60k but below 71.2k resistance; wait for lower entry</t>
  </si>
  <si>
    <t xml:space="preserve">Model values declining; 71.2k key resistance; 60k support tested</t>
  </si>
  <si>
    <t xml:space="preserve">2026-02-18</t>
  </si>
  <si>
    <t xml:space="preserve">https://dannydayan.substack.com/p/carneys-gamble</t>
  </si>
  <si>
    <t xml:space="preserve">FX/Geopolitics</t>
  </si>
  <si>
    <t xml:space="preserve">Canada / CAD</t>
  </si>
  <si>
    <t xml:space="preserve">Neutral/Skeptical</t>
  </si>
  <si>
    <t xml:space="preserve">Canada below-potential growth with only modest improvements; Carney geopolitical ambitions may be overreach given economic fundamentals</t>
  </si>
  <si>
    <t xml:space="preserve">Modest uneven improvements since Sep analysis; grand New World Order statements vs economic reality</t>
  </si>
  <si>
    <t xml:space="preserve">2026-02-22</t>
  </si>
  <si>
    <t xml:space="preserve">https://dannydayan.substack.com/p/overruled</t>
  </si>
  <si>
    <t xml:space="preserve">US Tariffs/Trade Policy</t>
  </si>
  <si>
    <t xml:space="preserve">Neutral/Uncertain</t>
  </si>
  <si>
    <t xml:space="preserve">SCOTUS overruled IEEPA tariffs; admin pivoting to other statutes; potential $150-200B tariff refund creates policy uncertainty</t>
  </si>
  <si>
    <t xml:space="preserve">Supreme Court ruling; $150-200B potential refund; admin seeking alternative legal authority</t>
  </si>
  <si>
    <t xml:space="preserve">2026-02-24</t>
  </si>
  <si>
    <t xml:space="preserve">https://dannydayan.substack.com/p/narratives-gone-wild</t>
  </si>
  <si>
    <t xml:space="preserve">Copper</t>
  </si>
  <si>
    <t xml:space="preserve">AI build-out running into capacity issues is bullish for copper; up 18% since October call; supply constraints from AI infrastructure demand</t>
  </si>
  <si>
    <t xml:space="preserve">Copper +18% since Oct call; AI capacity thesis playing out</t>
  </si>
  <si>
    <t xml:space="preserve">Silver</t>
  </si>
  <si>
    <t xml:space="preserve">AI capacity constraints bullish for silver; up 71% since October call; dual demand from industrial use and monetary hedge</t>
  </si>
  <si>
    <t xml:space="preserve">Silver +71% since Oct call; industrial + monetary demand</t>
  </si>
  <si>
    <t xml:space="preserve">Natural Gas</t>
  </si>
  <si>
    <t xml:space="preserve">AI data center power demand bullish for nat gas; flat after 150% round trip since October call; thesis intact despite volatility</t>
  </si>
  <si>
    <t xml:space="preserve">Nat gas flat after 150% round trip; AI data center demand thesis intact</t>
  </si>
  <si>
    <t xml:space="preserve">https://dannydayan.substack.com/p/bombs-away</t>
  </si>
  <si>
    <t xml:space="preserve">Risk Sentiment (Iran War)</t>
  </si>
  <si>
    <t xml:space="preserve">Bearish / Cautious</t>
  </si>
  <si>
    <t xml:space="preserve">Iran war creates fluid irrational market conditions; inflation at catastrophic levels while markets price deflation; be mindful of risk</t>
  </si>
  <si>
    <t xml:space="preserve">New Iran war; inflation vs deflation pricing disconnect</t>
  </si>
  <si>
    <t xml:space="preserve">Inflation reaching catastrophic levels; major disconnect between actual inflation and market pricing of deflation</t>
  </si>
  <si>
    <t xml:space="preserve">Catastrophic inflation levels vs deflation market pricing</t>
  </si>
  <si>
    <t xml:space="preserve">2026-03-06</t>
  </si>
  <si>
    <t xml:space="preserve">https://dannydayan.substack.com/p/quick-thoughts-on-oil</t>
  </si>
  <si>
    <t xml:space="preserve">Oil was first theme in 2026 outlook; Iran war and Hormuz disruption creating major supply shock; significant opportunities in oil</t>
  </si>
  <si>
    <t xml:space="preserve">Iran war; Hormuz disruption; first 2026 outlook theme</t>
  </si>
  <si>
    <t xml:space="preserve">2026-03-08</t>
  </si>
  <si>
    <t xml:space="preserve">https://dannydayan.substack.com/p/the-shock</t>
  </si>
  <si>
    <t xml:space="preserve">Bearish / Volatile</t>
  </si>
  <si>
    <t xml:space="preserve">Chaotic market conditions expected to continue; Iran war dominating all dynamics; CPI and Core PCE critical given oil shock</t>
  </si>
  <si>
    <t xml:space="preserve">Ongoing chaos; CPI and PCE key readings amid oil shock</t>
  </si>
  <si>
    <t xml:space="preserve">Newsletter</t>
  </si>
  <si>
    <t xml:space="preserve">https://www.lynalden.com/march-2026-newsletter/</t>
  </si>
  <si>
    <t xml:space="preserve">Fed Balance Sheet ('Gradual Print')</t>
  </si>
  <si>
    <t xml:space="preserve">Neutral (gradual expansion)</t>
  </si>
  <si>
    <t xml:space="preserve">$120B expansion from Dec low; ~$420B annualized rate</t>
  </si>
  <si>
    <t xml:space="preserve">Maintains 'gradual print' outlook. Balance sheet up $120B from Dec low. War raises probability of above-baseline scenarios but not yet in 'big print' territory ($2T+ threshold). Uncertainty sharply elevated</t>
  </si>
  <si>
    <t xml:space="preserve">Fed BS up $120B since Dec; $220-375B projected for 2026 (3-6% gain vs $6.5T starting); standing repo/swap facilities not yet seeing material usage</t>
  </si>
  <si>
    <t xml:space="preserve">$98.23 spot; +49.8% 12-month</t>
  </si>
  <si>
    <t xml:space="preserve">Strait of Hormuz mostly closed 3+ weeks into Iran war. ~20% of global oil/hydrocarbon liquids production transits Strait. Oil analysts 'freaking out'. Prolonged closure = worst-case scenario for energy markets. Price spikes can turn to shortages/rationing</t>
  </si>
  <si>
    <t xml:space="preserve">WTI $98.23 +49.8% YoY; Hormuz still closed; Iran energy infrastructure struck; Persian Gulf + Arabian Sea + Red Sea coastal infrastructure hit</t>
  </si>
  <si>
    <t xml:space="preserve">US Economy / Recession Risk</t>
  </si>
  <si>
    <t xml:space="preserve">Neutral (mixed signals)</t>
  </si>
  <si>
    <t xml:space="preserve">Recession risks inching up. No net jobs since Apr 2025. But weekly claims show no acute stress. Consumer sentiment historically low, PMIs headed up, lending reasonable. Mixed signals - nothing in pre-war data is high-probability catalyst for big print</t>
  </si>
  <si>
    <t xml:space="preserve">Total employment flat since Apr 2025; weekly jobless claims stable; consumer sentiment historically low; PMIs rising; lending at reasonable pace</t>
  </si>
  <si>
    <t xml:space="preserve">US Treasury Yields / MOVE Index</t>
  </si>
  <si>
    <t xml:space="preserve">Bearish (yields rising)</t>
  </si>
  <si>
    <t xml:space="preserve">10Y yield 4.39%; MOVE elevated but not at break levels</t>
  </si>
  <si>
    <t xml:space="preserve">Treasury yields rising sharply since war began. Rate of change significant though not major in absolute terms. Puts upward pressure on mortgages and private credit. MOVE index elevated but not yet at crisis 'break' levels</t>
  </si>
  <si>
    <t xml:space="preserve">10Y yield 4.39%; 10Y-3Mo spread 0.68%; 10Y breakeven 2.38%; MOVE index significantly elevated</t>
  </si>
  <si>
    <t xml:space="preserve">Fed Policy (Stagflation Dilemma)</t>
  </si>
  <si>
    <t xml:space="preserve">Neutral (stuck)</t>
  </si>
  <si>
    <t xml:space="preserve">War puts Fed in impossible position: stagflationary with both mandates challenged simultaneously. Some officials want rate cuts for employment, others want to hold/hike for inflation. But balance sheet expansion is less debatable - Fed will provide liquidity if Treasury/overnight markets break regardless of inflation</t>
  </si>
  <si>
    <t xml:space="preserve">Dual mandate simultaneously challenged; standing repo/swap facilities not yet seeing material usage (no acute dollar shortage); energy shortage = stagflation</t>
  </si>
  <si>
    <t xml:space="preserve">Bearish (deficits expanding)</t>
  </si>
  <si>
    <t xml:space="preserve">Pentagon requesting $200B for Iran war (~$1,500/household)</t>
  </si>
  <si>
    <t xml:space="preserve">US fiscal deficits will continue to run hot. Nothing stops this train; war can accelerate it. Structural issues from fiscal dominance + Triffin Dilemma unaddressed. Empires don't voluntarily downsize - they lash out. Long-term debt cycle pointing toward inflationary debasement and political resets</t>
  </si>
  <si>
    <t xml:space="preserve">Pentagon requesting $200B from Congress; bipartisan opposition; fiscal dominance + Triffin Dilemma; long-term debt cycle analysis from Broken Money Ch.19</t>
  </si>
  <si>
    <t xml:space="preserve">Macro/Strategy</t>
  </si>
  <si>
    <t xml:space="preserve">Three-Pillar Portfolio Strategy</t>
  </si>
  <si>
    <t xml:space="preserve">Bullish (scarce assets)</t>
  </si>
  <si>
    <t xml:space="preserve">Continues three-pillar approach: 1) profitable equities, 2) commodities/producers &amp; hard monies, 3) cash-equivalents. Long-term bull on scarce high-quality assets at reasonable valuations. Emphasize under-owned, inexpensive assets. Gradual rebalancing away from over-owned assets</t>
  </si>
  <si>
    <t xml:space="preserve">60/40 has no answer for stagflation; commodities pillar boosts Sharpe ratio over sufficiently long period; three pillars cover disinflation, inflation, and contraction scenarios</t>
  </si>
  <si>
    <t xml:space="preserve">Neutral (temporarily pressured)</t>
  </si>
  <si>
    <t xml:space="preserve">Gold and silver encountered 'high-sentiment pricing' recently, creating temporary negative pressure on otherwise good assets. Still in Group A (scarce/high-quality) but near-term overbought headwind. Part of pillar 2 of portfolio</t>
  </si>
  <si>
    <t xml:space="preserve">Classified as Group A (scarce/high-quality); recent high-sentiment pricing = temporary negative pressure</t>
  </si>
  <si>
    <t xml:space="preserve">$68,019; +19.4% 12-month</t>
  </si>
  <si>
    <t xml:space="preserve">Bitcoin classified as Group A (scarce/high-quality asset). Encountered high-sentiment pricing last year creating temporary pressure. Still part of long-term portfolio allocation in hard monies pillar</t>
  </si>
  <si>
    <t xml:space="preserve">BTC $68,019 +19.4% YoY; categorized alongside commodities/producers and hard monies in three-pillar framework</t>
  </si>
  <si>
    <t xml:space="preserve">Bonds (Long Duration) vs Cash</t>
  </si>
  <si>
    <t xml:space="preserve">Bearish (bonds) / Bullish (cash)</t>
  </si>
  <si>
    <t xml:space="preserve">Bonds classified as Group B (major supply growth = inherently weak long-run). Within Group B, prefers cash/short-term bills over long-duration bonds as volatility shock absorber during crises like current environment</t>
  </si>
  <si>
    <t xml:space="preserve">Currency and bonds = Group B with inherent supply growth; cash-equivalents useful as volatility shock absorber; pillar 3 of portfolio strategy</t>
  </si>
  <si>
    <t xml:space="preserve">Neutral (selective)</t>
  </si>
  <si>
    <t xml:space="preserve">Stock market = 200% of GDP</t>
  </si>
  <si>
    <t xml:space="preserve">US heavily financialized at 200% stock market/GDP with concentrated ownership. Extended weakness (&gt;1yr) pressures executive comp + cap gains + federal tax receipts. Bullish on profitable equities at reasonable valuations but cautious on overvalued defensive stocks. Tail wags the dog now</t>
  </si>
  <si>
    <t xml:space="preserve">Stock market 200% of GDP; concentrated ownership; weakness &gt;1yr hits tax receipts; sold VAL from newsletter portfolio</t>
  </si>
  <si>
    <t xml:space="preserve">Bob Loukas</t>
  </si>
  <si>
    <t xml:space="preserve">https://thefinancialtap.com/2026/03/clarity-in-cycles/</t>
  </si>
  <si>
    <t xml:space="preserve">Primary weekly trend confirmed Bear (transitioned from Bull Under Threat Mar 13 → Bear Mar 21); late daily cycle (Day 43) may support near-term bounce but structurally bearish</t>
  </si>
  <si>
    <t xml:space="preserve">Daily Day 43/44 late; Investor Week 18/26 mid; Sentiment 37% low; Primary Trend Bear</t>
  </si>
  <si>
    <t xml:space="preserve">Primary weekly trend confirmed Bull (flipped from Bear — significant trend change); both daily and investor cycles mid = meaningful runway ahead</t>
  </si>
  <si>
    <t xml:space="preserve">Daily Day 24/36-42 mid; Investor Week 14/22-26 mid; Sentiment 67% elevated; Primary Trend BULL (new)</t>
  </si>
  <si>
    <t xml:space="preserve">Primary weekly trend remains Bull; investor cycle right-translated (Week 34 vs 22-26 range = 8 weeks extended) = highly bullish market structure; late cycle suggests near-term consolidation before next leg</t>
  </si>
  <si>
    <t xml:space="preserve">Daily Day 35 late (past 24-28 range); Investor Week 34 late (past 22-26 range); Sentiment 56% neutral; Primary Trend Bull</t>
  </si>
  <si>
    <t xml:space="preserve">Primary weekly trend Down; in early investor cycle (Week 7 of 16-20) = meaningful downtrend runway ahead; daily cycle very extended (Day 39 vs 15-20 range) = short-term bounce possible before continuing lower</t>
  </si>
  <si>
    <t xml:space="preserve">Daily Day 39 very late; Investor Week 7/16-20 early; Sentiment 47% neutral; Primary Trend Down</t>
  </si>
  <si>
    <t xml:space="preserve">https://thefinancialtap.com/2026/03/hear-the-music/</t>
  </si>
  <si>
    <t xml:space="preserve">S&amp;P primary trend flagged "Bull Trend – UNDER THREAT"; one week later confirmed Bear; crude oil in Bear trend as of this date</t>
  </si>
  <si>
    <t xml:space="preserve">Daily Day 38/38-44; Investor Week 17/26 mid; Sentiment 53%; Primary Trend Bull — UNDER THREAT</t>
  </si>
  <si>
    <t xml:space="preserve">Revised</t>
  </si>
  <si>
    <t xml:space="preserve">2026-03-07</t>
  </si>
  <si>
    <t xml:space="preserve">https://thefinancialtap.com/2026/03/breakdown/</t>
  </si>
  <si>
    <t xml:space="preserve">S&amp;P primary trend still Bull but Daily Cycle late (Day 33/38-44); 4th time S&amp;P fought off closing failed Daily Cycle (per midweek update); elevated sentiment 62% = limited upside</t>
  </si>
  <si>
    <t xml:space="preserve">Daily Day 33/38-44; Investor Week 16/26 mid; Sentiment 62%; Primary Trend Bull (still)</t>
  </si>
  <si>
    <t xml:space="preserve">2026-03-04</t>
  </si>
  <si>
    <t xml:space="preserve">https://thefinancialtap.com/2026/03/midweek-update-march-4th-2026/</t>
  </si>
  <si>
    <t xml:space="preserve">4th time S&amp;P fought off a closing failed Daily Cycle — trench fight continues; cycle structure under stress</t>
  </si>
  <si>
    <t xml:space="preserve">4 failed Daily Cycle closing attempts; trench fight in equities</t>
  </si>
  <si>
    <t xml:space="preserve">2026-02-21</t>
  </si>
  <si>
    <t xml:space="preserve">https://thefinancialtap.com/2026/02/at-the-crossroads/</t>
  </si>
  <si>
    <t xml:space="preserve">Bonds (10Y)</t>
  </si>
  <si>
    <t xml:space="preserve">Bonds listed as Underweight in model portfolio; consistent positioning across all reports in window</t>
  </si>
  <si>
    <t xml:space="preserve">Model Portfolio: Bonds = Underweight Position (consistent Jan 24 – Feb 21)</t>
  </si>
  <si>
    <t xml:space="preserve">Bitcoin maintained as Core Position in model portfolio across all reports in window</t>
  </si>
  <si>
    <t xml:space="preserve">Model Portfolio: Bitcoin = Core Position (consistent Jan 24 – Feb 21)</t>
  </si>
  <si>
    <t xml:space="preserve">2026-02-28</t>
  </si>
  <si>
    <t xml:space="preserve">https://thefinancialtap.com/2026/02/on-edge/</t>
  </si>
  <si>
    <t xml:space="preserve">Gold primary trend Bull; investor cycle late (Week 31) but sentiment retreating from excess (70% vs prior 81%); right-translation continues bullishly</t>
  </si>
  <si>
    <t xml:space="preserve">Daily Day 20/24-28 mid; Investor Week 31 late; Sentiment 70% elevated; Primary Trend Bull</t>
  </si>
  <si>
    <t xml:space="preserve">2026-01-31</t>
  </si>
  <si>
    <t xml:space="preserve">https://thefinancialtap.com/2026/01/spidey-sense/</t>
  </si>
  <si>
    <t xml:space="preserve">AMBER cycle clarity + 76% excessive sentiment = short-term caution; Metals Crash Update issued following day (Jan 30) confirms corrective risk; primary trend remains Bull</t>
  </si>
  <si>
    <t xml:space="preserve">Daily Day 22/24-28 AMBER; Investor Week 24/22-26 AMBER; Sentiment 76% EXCESSIVE; Primary Trend Bull</t>
  </si>
  <si>
    <t xml:space="preserve">2026-01-24</t>
  </si>
  <si>
    <t xml:space="preserve">https://thefinancialtap.com/2026/01/the-golden-gift/</t>
  </si>
  <si>
    <t xml:space="preserve">AMBER cycle clarity + 81% excessive sentiment = extreme short-term caution; gold at top of daily cycle with investor cycle late; "Golden Gift" = correction opportunity likely</t>
  </si>
  <si>
    <t xml:space="preserve">Daily Day 17/24-28 AMBER; Investor Week 23/22-26 AMBER; Sentiment 81% EXCESSIVE; Primary Trend Bull</t>
  </si>
  <si>
    <t xml:space="preserve">2026-02-06</t>
  </si>
  <si>
    <t xml:space="preserve">https://thefinancialtap.com/2026/02/stick-save/</t>
  </si>
  <si>
    <t xml:space="preserve">"Stick Save" — S&amp;P Core + Consider Overweight; early daily cycle (Day 5-14); primary trend still Bull; cycle reset offers entry</t>
  </si>
  <si>
    <t xml:space="preserve">Daily Day 5-14 early cycle; Investor Week 12/26 mid; Sentiment 66%; Primary Trend Bull; Portfolio: Core + Consider Overweight</t>
  </si>
  <si>
    <t xml:space="preserve">Platform(s)</t>
  </si>
  <si>
    <t xml:space="preserve">Focus Areas</t>
  </si>
  <si>
    <t xml:space="preserve">Typical Cadence</t>
  </si>
  <si>
    <t xml:space="preserve">Track Record Notes</t>
  </si>
  <si>
    <t xml:space="preserve">Source URLs</t>
  </si>
  <si>
    <t xml:space="preserve">Login Required?</t>
  </si>
  <si>
    <t xml:space="preserve">Content Format</t>
  </si>
  <si>
    <t xml:space="preserve">lynalden.com (Premium), X, YouTube</t>
  </si>
  <si>
    <t xml:space="preserve">Macro, Fiscal policy, Rates, FX, Commodities, Bitcoin</t>
  </si>
  <si>
    <t xml:space="preserve">Monthly newsletter + ad hoc</t>
  </si>
  <si>
    <t xml:space="preserve">https://www.lynalden.com/members/</t>
  </si>
  <si>
    <t xml:space="preserve">Yes</t>
  </si>
  <si>
    <t xml:space="preserve">Written reports, Charts</t>
  </si>
  <si>
    <t xml:space="preserve">dannydayan.substack.com (Macro Musings), X (@dannydayan5)</t>
  </si>
  <si>
    <t xml:space="preserve">Global Macro, Equities, Crypto, FX, Options, Financial Conditions</t>
  </si>
  <si>
    <t xml:space="preserve">Multiple times per week (Weekly Indicators + ad hoc updates)</t>
  </si>
  <si>
    <t xml:space="preserve">Ex-hedge fund manager; quantitative model-based approach with Z-score signals. 23 posts archived (Jan 22 - Mar 22, 2026)</t>
  </si>
  <si>
    <t xml:space="preserve">https://dannydayan.substack.com</t>
  </si>
  <si>
    <t xml:space="preserve">Yes (Substack paid)</t>
  </si>
  <si>
    <t xml:space="preserve">Written posts with charts, model summary tables, positioning data</t>
  </si>
  <si>
    <t xml:space="preserve">campbellramble.ai (Substack), X (@abcampbell)</t>
  </si>
  <si>
    <t xml:space="preserve">Global Macro, Geopolitics, AI/Tech disruption, Credit markets, Commodities, Dollar/Reserve currency</t>
  </si>
  <si>
    <t xml:space="preserve">Multiple times per month (irregular, event-driven)</t>
  </si>
  <si>
    <t xml:space="preserve">Founder of Rose.AI; formerly Bridgewater and Lehman Brothers; runs proprietary quant model ("robot") for market signals; AI-native macro framework</t>
  </si>
  <si>
    <t xml:space="preserve">https://www.campbellramble.ai/</t>
  </si>
  <si>
    <t xml:space="preserve">Free + Substack paid (some posts)</t>
  </si>
  <si>
    <t xml:space="preserve">Written posts (long-form analysis + quant model commentary)</t>
  </si>
  <si>
    <t xml:space="preserve">research.macro-ops.com (Substack), macro-ops.com</t>
  </si>
  <si>
    <t xml:space="preserve">Global Macro, Commodities, Equities, Technical Analysis (RS/Trifecta Lens), Geopolitics, Options</t>
  </si>
  <si>
    <t xml:space="preserve">Multiple pieces per week + monthly Thematic Inflection Reports + weekly Vol Street Journal (quant)</t>
  </si>
  <si>
    <t xml:space="preserve">2025 full year +50.8%; 2026 YTD ~+40% (as of Mar 9); Team: Alex Barrow (Lead), Mike Gyulai (Quant/Technical), Brandon Beylo (Value/RS), Tony Dundas-Lucca</t>
  </si>
  <si>
    <t xml:space="preserve">https://research.macro-ops.com</t>
  </si>
  <si>
    <t xml:space="preserve">Written research, chart books, thematic inflection reports, Vol Street Journal (quant), strategy letters</t>
  </si>
  <si>
    <t xml:space="preserve">thefinancialtap.com (Premium), X (@BobLoukas)</t>
  </si>
  <si>
    <t xml:space="preserve">Market Cycles, Gold, Equities, Bitcoin, FX, Crude Oil</t>
  </si>
  <si>
    <t xml:space="preserve">Weekly premium reports + ad hoc updates</t>
  </si>
  <si>
    <t xml:space="preserve">30+ year market veteran; cycle analysis methodology (Daily + Investor cycles); focuses on Primary Trend direction + cycle position + sentiment as 3-factor signal; first processed Mar 23, 2026 (10 reports Jan 24 – Mar 21)</t>
  </si>
  <si>
    <t xml:space="preserve">https://thefinancialtap.com/premium-reports/</t>
  </si>
  <si>
    <t xml:space="preserve">Yes (membership)</t>
  </si>
  <si>
    <t xml:space="preserve">Written reports + video updates; covers Gold, Equities, Crude, Dollar cycles</t>
  </si>
  <si>
    <t xml:space="preserve">Asset / Theme</t>
  </si>
  <si>
    <t xml:space="preserve">Consensus Score</t>
  </si>
  <si>
    <t xml:space="preserve">Signal Strength</t>
  </si>
  <si>
    <t xml:space="preserve">Last Updated</t>
  </si>
  <si>
    <t xml:space="preserve">US Fiscal Deficit</t>
  </si>
  <si>
    <t xml:space="preserve">China/EM Outlook</t>
  </si>
  <si>
    <t xml:space="preserve">Commodities (Broad)</t>
  </si>
  <si>
    <t xml:space="preserve">Encoding: -1 = Bearish, 0 = Neutral, 1 = Bullish</t>
  </si>
  <si>
    <t xml:space="preserve">Asset</t>
  </si>
  <si>
    <t xml:space="preserve">Previous Call</t>
  </si>
  <si>
    <t xml:space="preserve">New Call</t>
  </si>
  <si>
    <t xml:space="preserve">Reason for Change</t>
  </si>
  <si>
    <t xml:space="preserve">Source</t>
  </si>
  <si>
    <t xml:space="preserve">Hawkish Hold (-1)</t>
  </si>
  <si>
    <t xml:space="preserve">Hawkish (-1) [reinforced]</t>
  </si>
  <si>
    <t xml:space="preserve">Neutrality post: 5th supply shock confirms Fed should not cut; 175bps cuts were mistake</t>
  </si>
  <si>
    <t xml:space="preserve">Bearish/Higher (1)</t>
  </si>
  <si>
    <t xml:space="preserve">Bearish/Higher (1) [reinforced]</t>
  </si>
  <si>
    <t xml:space="preserve">Neutrality post: New supply shock raising inflation; 6 years above target</t>
  </si>
  <si>
    <t xml:space="preserve">Bearish (Conv 4)</t>
  </si>
  <si>
    <t xml:space="preserve">Bearish - sell rallies (Conv 4)</t>
  </si>
  <si>
    <t xml:space="preserve">The Rhyme: covered shorts on oversold but momentum falling off cliff, rallies to be sold</t>
  </si>
  <si>
    <t xml:space="preserve">Bullish (Conv 5)</t>
  </si>
  <si>
    <t xml:space="preserve">Bullish - tactical buy dips (Conv 4)</t>
  </si>
  <si>
    <t xml:space="preserve">The Rhyme: buy dips, take profits after 5-10% pops; oil failed at $80 7 times</t>
  </si>
  <si>
    <t xml:space="preserve">Bearish (higher yields, Conv 4)</t>
  </si>
  <si>
    <t xml:space="preserve">Bearish (short bonds, Conv 4)</t>
  </si>
  <si>
    <t xml:space="preserve">The Rhyme: explicit short 10Y + short SOFR Z7 via options; 2nd inflation wave thesis</t>
  </si>
  <si>
    <t xml:space="preserve">Hawkish (Conv 5)</t>
  </si>
  <si>
    <t xml:space="preserve">Hawkish [reinforced] (Conv 5)</t>
  </si>
  <si>
    <t xml:space="preserve">The Rhyme: rate cut cycle was misplaced, left too vulnerable; 1970s Burns/Miller mistake</t>
  </si>
  <si>
    <t xml:space="preserve">Bearish/Higher (Conv 5)</t>
  </si>
  <si>
    <t xml:space="preserve">Bearish/Higher [reinforced] (Conv 5)</t>
  </si>
  <si>
    <t xml:space="preserve">The Rhyme: 2nd inflation shock always worse than 1st; oil bleeding into broad prices</t>
  </si>
  <si>
    <t xml:space="preserve">Multiple Assets</t>
  </si>
  <si>
    <t xml:space="preserve">N/A (new analyst)</t>
  </si>
  <si>
    <t xml:space="preserve">Analyst added — 9 posts processed (Jan 28 – Mar 23, 2026)</t>
  </si>
  <si>
    <t xml:space="preserve">Initial onboarding of Alexander Campbell to tracker. Posts: Dollar Doomers Missing the Point, The Air Pocket, Flash Crash, Crowded Confused Cranky, All Eyes on Hormuz, The Regret Trade, Everything is a Bank, Watch Credit, War for the Dollar</t>
  </si>
  <si>
    <t xml:space="preserve">Multiple sources — see Calls Log rows 77-100</t>
  </si>
  <si>
    <t xml:space="preserve">None (new)</t>
  </si>
  <si>
    <t xml:space="preserve">War for the Dollar (Mar 23): explicit long gold portfolio position; war on dollar thesis + geopolitical safe haven</t>
  </si>
  <si>
    <t xml:space="preserve">Oil (WTI) / Energy</t>
  </si>
  <si>
    <t xml:space="preserve">War for the Dollar (Mar 23): explicit long energy portfolio position; Hormuz risk = persistent supply disruption</t>
  </si>
  <si>
    <t xml:space="preserve">Bearish (Conv 5)</t>
  </si>
  <si>
    <t xml:space="preserve">War for the Dollar (Mar 23): explicit short credit position; AI private credit bust + oil shock compounding</t>
  </si>
  <si>
    <t xml:space="preserve">Consistent bearish equity thesis across 9 posts; most recent: War for the Dollar — skeptical of ceasefire rally, sell rallies</t>
  </si>
  <si>
    <t xml:space="preserve">Higher/Bearish (Conv 4)</t>
  </si>
  <si>
    <t xml:space="preserve">War for the Dollar (Mar 23): oil shock from Iran + supply chain fragmentation = persistent elevated inflation</t>
  </si>
  <si>
    <t xml:space="preserve">All Assets</t>
  </si>
  <si>
    <t xml:space="preserve">Not tracked</t>
  </si>
  <si>
    <t xml:space="preserve">Initial entry — first processing of Macro Ops content</t>
  </si>
  <si>
    <t xml:space="preserve">10 new PDFs created; 16 calls added to Calls Log; Macro Ops added to Consensus Matrix and Analyst Profiles</t>
  </si>
  <si>
    <t xml:space="preserve">research.macro-ops.com — 10 articles processed (Feb 2 – Mar 21, 2026)</t>
  </si>
  <si>
    <t xml:space="preserve">Strongly Bullish (High/5)</t>
  </si>
  <si>
    <t xml:space="preserve">Most recent call from Mar 21 'Iran Three Weeks In': $100+ already; Hormuz -70%; prolonged disruption premium</t>
  </si>
  <si>
    <t xml:space="preserve">Strongly Bearish (High/5)</t>
  </si>
  <si>
    <t xml:space="preserve">Most recent call from Mar 21 'Paradigm Shift Meet Complacency': dot-com valuations, margin ATH, equity book flat</t>
  </si>
  <si>
    <t xml:space="preserve">Short T-bonds on since at least Feb 2026; record small spec longs = crowded; commodity bull = higher yields</t>
  </si>
  <si>
    <t xml:space="preserve">Cyclical commodity bull playbook: PMs → Metals → Energy (now) → Agriculture (next); long BBG Commodity Index</t>
  </si>
  <si>
    <t xml:space="preserve">N/A — Monitoring Run</t>
  </si>
  <si>
    <t xml:space="preserve">Not yet tracked</t>
  </si>
  <si>
    <t xml:space="preserve">Monitoring run initiated</t>
  </si>
  <si>
    <t xml:space="preserve">Automated scheduled task ran to onboard Bob Loukas tracking. Browser extension unable to navigate from chrome://newtab/ (extension security restriction). Network egress proxy blocks thefinancialtap.com directly. 4 premium reports identified in 60-day window via WebSearch metadata: "Model Portfolio" (Mar 21), "Clarity in Cycles" (Mar 13), "Hear The Music" (Mar 7), "Breakdown" (Mar 4). Content not accessible this run. Bob Loukas added to Analyst Profiles. Retry recommended with active browser tab.</t>
  </si>
  <si>
    <t xml:space="preserve">Automated — thefinancialtap.com/premium-reports/</t>
  </si>
  <si>
    <t xml:space="preserve">N/A (backfill)</t>
  </si>
  <si>
    <t xml:space="preserve">16 new posts processed (Jan 22 - Mar 8)</t>
  </si>
  <si>
    <t xml:space="preserve">Backfill of 16 posts from Jan 22 to Mar 8, 2026 not previously archived. 22 new calls added to Calls Log. Posts include: The New Contender, Synchronized, Shock By Appointment, Tech Musings, Deleveraging, The Good The Bad and The Ugly, Crypto Regime Change, Tightening, Crypto Model Updates, Carneys Gamble, Overruled, Narratives Gone Wild, Weekly Indicators, Bombs Away, Quick Thoughts on Oil, The Shock</t>
  </si>
  <si>
    <t xml:space="preserve">Multiple - dannydayan.substack.com</t>
  </si>
  <si>
    <t xml:space="preserve">Gradual print maintained</t>
  </si>
  <si>
    <t xml:space="preserve">11 new calls from March 2026 newsletter</t>
  </si>
  <si>
    <t xml:space="preserve">Newsletter 'A Flywheel of Chaos' — Iran war elevates uncertainty around gradual print thesis; stagflation risk; three-pillar portfolio reaffirmed; oil conviction highest; fiscal deficits accelerating</t>
  </si>
  <si>
    <t xml:space="preserve">Bull Trend (Jan 24 – Mar 13)</t>
  </si>
  <si>
    <t xml:space="preserve">Bear Trend (Mar 21)</t>
  </si>
  <si>
    <t xml:space="preserve">Primary weekly trend confirmed bearish after being flagged "Under Threat" on Mar 13; sentiment at 37% (low) was insufficient to stop the breakdown</t>
  </si>
  <si>
    <t xml:space="preserve">Bear Trend (Jan 24 – Mar 13)</t>
  </si>
  <si>
    <t xml:space="preserve">Bull Trend (Mar 21)</t>
  </si>
  <si>
    <t xml:space="preserve">Primary weekly trend confirmed bullish; crude oil investor cycle in mid-cycle with room to run; trend flip is significant</t>
  </si>
  <si>
    <t xml:space="preserve">2026-01-30</t>
  </si>
  <si>
    <t xml:space="preserve">Bullish / AMBER caution (Jan 24-31)</t>
  </si>
  <si>
    <t xml:space="preserve">Metals Crash Update — corrective episode</t>
  </si>
  <si>
    <t xml:space="preserve">Gold sentiment reached 81% excessive (Jan 24) and 76% (Jan 31) with AMBER clarity; Metals Crash Update issued Jan 30 confirms corrective move; primary bull trend subsequently maintained</t>
  </si>
  <si>
    <t xml:space="preserve">https://thefinancialtap.com/2026/01/metals-crash-update/</t>
  </si>
  <si>
    <t xml:space="preserve">Initial onboarding complete — 10 reports processed (Jan 24 – Mar 21)</t>
  </si>
  <si>
    <t xml:space="preserve">First processing run: 10 premium reports extracted from thefinancialtap.com/premium-reports/. Key current calls: Gold Bullish (bull trend, right-translated cycle), S&amp;P Bearish (primary bear confirmed), Crude Bull (trend confirmed), Dollar Bearish (down trend). Bonds Underweight, Bitcoin Core in model portfolio.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</si>
</sst>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9"/>
      <color rgb="FF808080"/>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F2F2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4"/>
    <col collapsed="false" customWidth="true" hidden="false" outlineLevel="0" max="4" min="4" style="1" width="30"/>
    <col collapsed="false" customWidth="true" hidden="false" outlineLevel="0" max="5" min="5" style="1" width="14"/>
    <col collapsed="false" customWidth="true" hidden="false" outlineLevel="0" max="6" min="6" style="1" width="16"/>
    <col collapsed="false" customWidth="true" hidden="false" outlineLevel="0" max="7" min="7" style="1" width="12"/>
    <col collapsed="false" customWidth="true" hidden="false" outlineLevel="0" max="9" min="8" style="1" width="14"/>
    <col collapsed="false" customWidth="true" hidden="false" outlineLevel="0" max="10" min="10" style="1" width="16"/>
    <col collapsed="false" customWidth="true" hidden="false" outlineLevel="0" max="12" min="11" style="1" width="35"/>
    <col collapsed="false" customWidth="true" hidden="false" outlineLevel="0" max="13" min="13" style="1" width="18"/>
    <col collapsed="false" customWidth="true" hidden="false" outlineLevel="0" max="14" min="14" style="1" width="12"/>
    <col collapsed="false" customWidth="true" hidden="false" outlineLevel="0" max="15" min="15" style="1" width="30"/>
  </cols>
  <sheetData>
    <row r="1" customFormat="false" ht="26.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ustomFormat="false" ht="42.75" hidden="false" customHeight="true" outlineLevel="0" collapsed="false">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row>
    <row r="3" customFormat="false" ht="34.5" hidden="false" customHeight="true" outlineLevel="0" collapsed="false">
      <c r="A3" s="4" t="s">
        <v>30</v>
      </c>
      <c r="B3" s="4" t="s">
        <v>31</v>
      </c>
      <c r="C3" s="4" t="s">
        <v>32</v>
      </c>
      <c r="D3" s="4" t="s">
        <v>33</v>
      </c>
      <c r="E3" s="4" t="s">
        <v>34</v>
      </c>
      <c r="F3" s="4" t="s">
        <v>35</v>
      </c>
      <c r="G3" s="4" t="s">
        <v>36</v>
      </c>
      <c r="H3" s="4" t="n">
        <v>3</v>
      </c>
      <c r="I3" s="4" t="s">
        <v>37</v>
      </c>
      <c r="J3" s="4" t="s">
        <v>38</v>
      </c>
      <c r="K3" s="4" t="s">
        <v>39</v>
      </c>
      <c r="L3" s="4" t="s">
        <v>40</v>
      </c>
      <c r="M3" s="4" t="s">
        <v>41</v>
      </c>
      <c r="N3" s="4" t="s">
        <v>42</v>
      </c>
      <c r="O3" s="4"/>
    </row>
    <row r="4" customFormat="false" ht="45.75" hidden="false" customHeight="true" outlineLevel="0" collapsed="false">
      <c r="A4" s="4" t="s">
        <v>30</v>
      </c>
      <c r="B4" s="4" t="s">
        <v>31</v>
      </c>
      <c r="C4" s="4" t="s">
        <v>32</v>
      </c>
      <c r="D4" s="4" t="s">
        <v>33</v>
      </c>
      <c r="E4" s="4" t="s">
        <v>43</v>
      </c>
      <c r="F4" s="4" t="s">
        <v>44</v>
      </c>
      <c r="G4" s="4" t="s">
        <v>45</v>
      </c>
      <c r="H4" s="4" t="n">
        <v>3</v>
      </c>
      <c r="I4" s="4" t="s">
        <v>46</v>
      </c>
      <c r="J4" s="4"/>
      <c r="K4" s="4" t="s">
        <v>47</v>
      </c>
      <c r="L4" s="4" t="s">
        <v>48</v>
      </c>
      <c r="M4" s="4" t="s">
        <v>41</v>
      </c>
      <c r="N4" s="4" t="s">
        <v>42</v>
      </c>
      <c r="O4" s="4"/>
    </row>
    <row r="5" customFormat="false" ht="45.75" hidden="false" customHeight="true" outlineLevel="0" collapsed="false">
      <c r="A5" s="4" t="s">
        <v>30</v>
      </c>
      <c r="B5" s="4" t="s">
        <v>31</v>
      </c>
      <c r="C5" s="4" t="s">
        <v>32</v>
      </c>
      <c r="D5" s="4" t="s">
        <v>33</v>
      </c>
      <c r="E5" s="4" t="s">
        <v>49</v>
      </c>
      <c r="F5" s="4" t="s">
        <v>50</v>
      </c>
      <c r="G5" s="4" t="s">
        <v>45</v>
      </c>
      <c r="H5" s="4" t="n">
        <v>4</v>
      </c>
      <c r="I5" s="4" t="s">
        <v>46</v>
      </c>
      <c r="J5" s="4"/>
      <c r="K5" s="4" t="s">
        <v>51</v>
      </c>
      <c r="L5" s="4" t="s">
        <v>52</v>
      </c>
      <c r="M5" s="4" t="s">
        <v>53</v>
      </c>
      <c r="N5" s="4" t="s">
        <v>42</v>
      </c>
      <c r="O5" s="4"/>
    </row>
    <row r="6" customFormat="false" ht="45.75" hidden="false" customHeight="true" outlineLevel="0" collapsed="false">
      <c r="A6" s="4" t="s">
        <v>30</v>
      </c>
      <c r="B6" s="4" t="s">
        <v>31</v>
      </c>
      <c r="C6" s="4" t="s">
        <v>32</v>
      </c>
      <c r="D6" s="4" t="s">
        <v>33</v>
      </c>
      <c r="E6" s="4" t="s">
        <v>54</v>
      </c>
      <c r="F6" s="4" t="s">
        <v>55</v>
      </c>
      <c r="G6" s="4" t="s">
        <v>56</v>
      </c>
      <c r="H6" s="4" t="n">
        <v>5</v>
      </c>
      <c r="I6" s="4" t="s">
        <v>46</v>
      </c>
      <c r="J6" s="4" t="s">
        <v>57</v>
      </c>
      <c r="K6" s="4" t="s">
        <v>58</v>
      </c>
      <c r="L6" s="4" t="s">
        <v>59</v>
      </c>
      <c r="M6" s="4" t="s">
        <v>41</v>
      </c>
      <c r="N6" s="4" t="s">
        <v>42</v>
      </c>
      <c r="O6" s="4"/>
    </row>
    <row r="7" customFormat="false" ht="45.75" hidden="false" customHeight="true" outlineLevel="0" collapsed="false">
      <c r="A7" s="4" t="s">
        <v>30</v>
      </c>
      <c r="B7" s="4" t="s">
        <v>31</v>
      </c>
      <c r="C7" s="4" t="s">
        <v>32</v>
      </c>
      <c r="D7" s="4" t="s">
        <v>33</v>
      </c>
      <c r="E7" s="4" t="s">
        <v>60</v>
      </c>
      <c r="F7" s="4" t="s">
        <v>61</v>
      </c>
      <c r="G7" s="4" t="s">
        <v>56</v>
      </c>
      <c r="H7" s="4" t="n">
        <v>4</v>
      </c>
      <c r="I7" s="4" t="s">
        <v>62</v>
      </c>
      <c r="J7" s="4"/>
      <c r="K7" s="4" t="s">
        <v>63</v>
      </c>
      <c r="L7" s="4" t="s">
        <v>64</v>
      </c>
      <c r="M7" s="4" t="s">
        <v>53</v>
      </c>
      <c r="N7" s="4" t="s">
        <v>42</v>
      </c>
      <c r="O7" s="4"/>
    </row>
    <row r="8" customFormat="false" ht="57" hidden="false" customHeight="true" outlineLevel="0" collapsed="false">
      <c r="A8" s="4" t="s">
        <v>30</v>
      </c>
      <c r="B8" s="4" t="s">
        <v>31</v>
      </c>
      <c r="C8" s="4" t="s">
        <v>32</v>
      </c>
      <c r="D8" s="4" t="s">
        <v>33</v>
      </c>
      <c r="E8" s="4" t="s">
        <v>65</v>
      </c>
      <c r="F8" s="4" t="s">
        <v>66</v>
      </c>
      <c r="G8" s="4" t="s">
        <v>56</v>
      </c>
      <c r="H8" s="4" t="n">
        <v>3</v>
      </c>
      <c r="I8" s="4" t="s">
        <v>67</v>
      </c>
      <c r="J8" s="4"/>
      <c r="K8" s="4" t="s">
        <v>68</v>
      </c>
      <c r="L8" s="4" t="s">
        <v>69</v>
      </c>
      <c r="M8" s="4" t="s">
        <v>53</v>
      </c>
      <c r="N8" s="4" t="s">
        <v>42</v>
      </c>
      <c r="O8" s="4"/>
    </row>
    <row r="9" customFormat="false" ht="57" hidden="false" customHeight="true" outlineLevel="0" collapsed="false">
      <c r="A9" s="4" t="s">
        <v>30</v>
      </c>
      <c r="B9" s="4" t="s">
        <v>31</v>
      </c>
      <c r="C9" s="4" t="s">
        <v>32</v>
      </c>
      <c r="D9" s="4" t="s">
        <v>33</v>
      </c>
      <c r="E9" s="4" t="s">
        <v>70</v>
      </c>
      <c r="F9" s="4" t="s">
        <v>71</v>
      </c>
      <c r="G9" s="4" t="s">
        <v>72</v>
      </c>
      <c r="H9" s="4" t="n">
        <v>2</v>
      </c>
      <c r="I9" s="4" t="s">
        <v>73</v>
      </c>
      <c r="J9" s="4" t="s">
        <v>74</v>
      </c>
      <c r="K9" s="4" t="s">
        <v>75</v>
      </c>
      <c r="L9" s="4" t="s">
        <v>76</v>
      </c>
      <c r="M9" s="4" t="s">
        <v>53</v>
      </c>
      <c r="N9" s="4" t="s">
        <v>42</v>
      </c>
      <c r="O9" s="4"/>
    </row>
    <row r="10" customFormat="false" ht="45.75" hidden="false" customHeight="true" outlineLevel="0" collapsed="false">
      <c r="A10" s="4" t="s">
        <v>30</v>
      </c>
      <c r="B10" s="4" t="s">
        <v>31</v>
      </c>
      <c r="C10" s="4" t="s">
        <v>32</v>
      </c>
      <c r="D10" s="4" t="s">
        <v>33</v>
      </c>
      <c r="E10" s="4" t="s">
        <v>77</v>
      </c>
      <c r="F10" s="4" t="s">
        <v>78</v>
      </c>
      <c r="G10" s="4" t="s">
        <v>45</v>
      </c>
      <c r="H10" s="4" t="n">
        <v>5</v>
      </c>
      <c r="I10" s="4" t="s">
        <v>62</v>
      </c>
      <c r="J10" s="4"/>
      <c r="K10" s="4" t="s">
        <v>79</v>
      </c>
      <c r="L10" s="4" t="s">
        <v>80</v>
      </c>
      <c r="M10" s="4" t="s">
        <v>53</v>
      </c>
      <c r="N10" s="4" t="s">
        <v>42</v>
      </c>
      <c r="O10" s="4"/>
    </row>
    <row r="11" customFormat="false" ht="57" hidden="false" customHeight="true" outlineLevel="0" collapsed="false">
      <c r="A11" s="4" t="s">
        <v>81</v>
      </c>
      <c r="B11" s="4" t="s">
        <v>31</v>
      </c>
      <c r="C11" s="4" t="s">
        <v>32</v>
      </c>
      <c r="D11" s="4" t="s">
        <v>82</v>
      </c>
      <c r="E11" s="4" t="s">
        <v>43</v>
      </c>
      <c r="F11" s="4" t="s">
        <v>44</v>
      </c>
      <c r="G11" s="4" t="s">
        <v>83</v>
      </c>
      <c r="H11" s="4" t="n">
        <v>3</v>
      </c>
      <c r="I11" s="4" t="s">
        <v>37</v>
      </c>
      <c r="J11" s="4"/>
      <c r="K11" s="4" t="s">
        <v>84</v>
      </c>
      <c r="L11" s="4" t="s">
        <v>85</v>
      </c>
      <c r="M11" s="4" t="s">
        <v>41</v>
      </c>
      <c r="N11" s="4" t="s">
        <v>42</v>
      </c>
      <c r="O11" s="4"/>
    </row>
    <row r="12" customFormat="false" ht="45.75" hidden="false" customHeight="true" outlineLevel="0" collapsed="false">
      <c r="A12" s="4" t="s">
        <v>81</v>
      </c>
      <c r="B12" s="4" t="s">
        <v>31</v>
      </c>
      <c r="C12" s="4" t="s">
        <v>32</v>
      </c>
      <c r="D12" s="4" t="s">
        <v>82</v>
      </c>
      <c r="E12" s="4" t="s">
        <v>49</v>
      </c>
      <c r="F12" s="4" t="s">
        <v>50</v>
      </c>
      <c r="G12" s="4" t="s">
        <v>86</v>
      </c>
      <c r="H12" s="4" t="n">
        <v>3</v>
      </c>
      <c r="I12" s="4" t="s">
        <v>37</v>
      </c>
      <c r="J12" s="4"/>
      <c r="K12" s="4" t="s">
        <v>87</v>
      </c>
      <c r="L12" s="4" t="s">
        <v>88</v>
      </c>
      <c r="M12" s="4" t="s">
        <v>41</v>
      </c>
      <c r="N12" s="4" t="s">
        <v>42</v>
      </c>
      <c r="O12" s="4"/>
    </row>
    <row r="13" customFormat="false" ht="57" hidden="false" customHeight="true" outlineLevel="0" collapsed="false">
      <c r="A13" s="4" t="s">
        <v>81</v>
      </c>
      <c r="B13" s="4" t="s">
        <v>31</v>
      </c>
      <c r="C13" s="4" t="s">
        <v>32</v>
      </c>
      <c r="D13" s="4" t="s">
        <v>82</v>
      </c>
      <c r="E13" s="4" t="s">
        <v>89</v>
      </c>
      <c r="F13" s="4" t="s">
        <v>90</v>
      </c>
      <c r="G13" s="4" t="s">
        <v>91</v>
      </c>
      <c r="H13" s="4" t="n">
        <v>4</v>
      </c>
      <c r="I13" s="4" t="s">
        <v>67</v>
      </c>
      <c r="J13" s="4"/>
      <c r="K13" s="4" t="s">
        <v>92</v>
      </c>
      <c r="L13" s="4" t="s">
        <v>93</v>
      </c>
      <c r="M13" s="4" t="s">
        <v>41</v>
      </c>
      <c r="N13" s="4" t="s">
        <v>42</v>
      </c>
      <c r="O13" s="4"/>
    </row>
    <row r="14" customFormat="false" ht="68.25" hidden="false" customHeight="true" outlineLevel="0" collapsed="false">
      <c r="A14" s="4" t="s">
        <v>81</v>
      </c>
      <c r="B14" s="4" t="s">
        <v>31</v>
      </c>
      <c r="C14" s="4" t="s">
        <v>32</v>
      </c>
      <c r="D14" s="4" t="s">
        <v>82</v>
      </c>
      <c r="E14" s="4" t="s">
        <v>54</v>
      </c>
      <c r="F14" s="4" t="s">
        <v>94</v>
      </c>
      <c r="G14" s="4" t="s">
        <v>95</v>
      </c>
      <c r="H14" s="4" t="n">
        <v>5</v>
      </c>
      <c r="I14" s="4" t="s">
        <v>46</v>
      </c>
      <c r="J14" s="4"/>
      <c r="K14" s="4" t="s">
        <v>96</v>
      </c>
      <c r="L14" s="4" t="s">
        <v>97</v>
      </c>
      <c r="M14" s="4" t="s">
        <v>41</v>
      </c>
      <c r="N14" s="4" t="s">
        <v>42</v>
      </c>
      <c r="O14" s="4"/>
    </row>
    <row r="15" customFormat="false" ht="57" hidden="false" customHeight="true" outlineLevel="0" collapsed="false">
      <c r="A15" s="4" t="s">
        <v>81</v>
      </c>
      <c r="B15" s="4" t="s">
        <v>31</v>
      </c>
      <c r="C15" s="4" t="s">
        <v>32</v>
      </c>
      <c r="D15" s="4" t="s">
        <v>82</v>
      </c>
      <c r="E15" s="4" t="s">
        <v>60</v>
      </c>
      <c r="F15" s="4" t="s">
        <v>61</v>
      </c>
      <c r="G15" s="4" t="s">
        <v>56</v>
      </c>
      <c r="H15" s="4" t="n">
        <v>4</v>
      </c>
      <c r="I15" s="4" t="s">
        <v>62</v>
      </c>
      <c r="J15" s="4"/>
      <c r="K15" s="4" t="s">
        <v>98</v>
      </c>
      <c r="L15" s="4" t="s">
        <v>99</v>
      </c>
      <c r="M15" s="4" t="s">
        <v>53</v>
      </c>
      <c r="N15" s="4" t="s">
        <v>42</v>
      </c>
      <c r="O15" s="4"/>
    </row>
    <row r="16" customFormat="false" ht="57" hidden="false" customHeight="true" outlineLevel="0" collapsed="false">
      <c r="A16" s="4" t="s">
        <v>81</v>
      </c>
      <c r="B16" s="4" t="s">
        <v>31</v>
      </c>
      <c r="C16" s="4" t="s">
        <v>32</v>
      </c>
      <c r="D16" s="4" t="s">
        <v>82</v>
      </c>
      <c r="E16" s="4" t="s">
        <v>70</v>
      </c>
      <c r="F16" s="4" t="s">
        <v>100</v>
      </c>
      <c r="G16" s="4" t="s">
        <v>101</v>
      </c>
      <c r="H16" s="4" t="n">
        <v>2</v>
      </c>
      <c r="I16" s="4" t="s">
        <v>73</v>
      </c>
      <c r="J16" s="4"/>
      <c r="K16" s="4" t="s">
        <v>102</v>
      </c>
      <c r="L16" s="4" t="s">
        <v>103</v>
      </c>
      <c r="M16" s="4" t="s">
        <v>53</v>
      </c>
      <c r="N16" s="4" t="s">
        <v>42</v>
      </c>
      <c r="O16" s="4"/>
    </row>
    <row r="17" customFormat="false" ht="68.25" hidden="false" customHeight="true" outlineLevel="0" collapsed="false">
      <c r="A17" s="4" t="s">
        <v>81</v>
      </c>
      <c r="B17" s="4" t="s">
        <v>31</v>
      </c>
      <c r="C17" s="4" t="s">
        <v>32</v>
      </c>
      <c r="D17" s="4" t="s">
        <v>82</v>
      </c>
      <c r="E17" s="4" t="s">
        <v>54</v>
      </c>
      <c r="F17" s="4" t="s">
        <v>104</v>
      </c>
      <c r="G17" s="4" t="s">
        <v>83</v>
      </c>
      <c r="H17" s="4" t="n">
        <v>3</v>
      </c>
      <c r="I17" s="4" t="s">
        <v>67</v>
      </c>
      <c r="J17" s="4"/>
      <c r="K17" s="4" t="s">
        <v>105</v>
      </c>
      <c r="L17" s="4" t="s">
        <v>106</v>
      </c>
      <c r="M17" s="4" t="s">
        <v>107</v>
      </c>
      <c r="N17" s="4" t="s">
        <v>42</v>
      </c>
      <c r="O17" s="4"/>
    </row>
    <row r="18" customFormat="false" ht="45.75" hidden="false" customHeight="true" outlineLevel="0" collapsed="false">
      <c r="A18" s="4" t="s">
        <v>108</v>
      </c>
      <c r="B18" s="4" t="s">
        <v>31</v>
      </c>
      <c r="C18" s="4" t="s">
        <v>32</v>
      </c>
      <c r="D18" s="4" t="s">
        <v>109</v>
      </c>
      <c r="E18" s="4" t="s">
        <v>43</v>
      </c>
      <c r="F18" s="4" t="s">
        <v>110</v>
      </c>
      <c r="G18" s="4" t="s">
        <v>56</v>
      </c>
      <c r="H18" s="4" t="n">
        <v>3</v>
      </c>
      <c r="I18" s="4" t="s">
        <v>37</v>
      </c>
      <c r="J18" s="4"/>
      <c r="K18" s="4" t="s">
        <v>111</v>
      </c>
      <c r="L18" s="4" t="s">
        <v>112</v>
      </c>
      <c r="M18" s="4" t="s">
        <v>41</v>
      </c>
      <c r="N18" s="4" t="s">
        <v>42</v>
      </c>
      <c r="O18" s="4"/>
    </row>
    <row r="19" customFormat="false" ht="57" hidden="false" customHeight="true" outlineLevel="0" collapsed="false">
      <c r="A19" s="4" t="s">
        <v>108</v>
      </c>
      <c r="B19" s="4" t="s">
        <v>31</v>
      </c>
      <c r="C19" s="4" t="s">
        <v>32</v>
      </c>
      <c r="D19" s="4" t="s">
        <v>109</v>
      </c>
      <c r="E19" s="4" t="s">
        <v>43</v>
      </c>
      <c r="F19" s="4" t="s">
        <v>44</v>
      </c>
      <c r="G19" s="4" t="s">
        <v>83</v>
      </c>
      <c r="H19" s="4" t="n">
        <v>3</v>
      </c>
      <c r="I19" s="4" t="s">
        <v>46</v>
      </c>
      <c r="J19" s="4"/>
      <c r="K19" s="4" t="s">
        <v>113</v>
      </c>
      <c r="L19" s="4" t="s">
        <v>114</v>
      </c>
      <c r="M19" s="4" t="s">
        <v>41</v>
      </c>
      <c r="N19" s="4" t="s">
        <v>42</v>
      </c>
      <c r="O19" s="4"/>
    </row>
    <row r="20" customFormat="false" ht="57" hidden="false" customHeight="true" outlineLevel="0" collapsed="false">
      <c r="A20" s="4" t="s">
        <v>108</v>
      </c>
      <c r="B20" s="4" t="s">
        <v>31</v>
      </c>
      <c r="C20" s="4" t="s">
        <v>32</v>
      </c>
      <c r="D20" s="4" t="s">
        <v>109</v>
      </c>
      <c r="E20" s="4" t="s">
        <v>49</v>
      </c>
      <c r="F20" s="4" t="s">
        <v>50</v>
      </c>
      <c r="G20" s="4" t="s">
        <v>86</v>
      </c>
      <c r="H20" s="4" t="n">
        <v>3</v>
      </c>
      <c r="I20" s="4" t="s">
        <v>37</v>
      </c>
      <c r="J20" s="4"/>
      <c r="K20" s="4" t="s">
        <v>115</v>
      </c>
      <c r="L20" s="4" t="s">
        <v>116</v>
      </c>
      <c r="M20" s="4" t="s">
        <v>107</v>
      </c>
      <c r="N20" s="4" t="s">
        <v>42</v>
      </c>
      <c r="O20" s="4"/>
    </row>
    <row r="21" customFormat="false" ht="34.5" hidden="false" customHeight="true" outlineLevel="0" collapsed="false">
      <c r="A21" s="4" t="s">
        <v>108</v>
      </c>
      <c r="B21" s="4" t="s">
        <v>31</v>
      </c>
      <c r="C21" s="4" t="s">
        <v>32</v>
      </c>
      <c r="D21" s="4" t="s">
        <v>109</v>
      </c>
      <c r="E21" s="4" t="s">
        <v>65</v>
      </c>
      <c r="F21" s="4" t="s">
        <v>117</v>
      </c>
      <c r="G21" s="4" t="s">
        <v>56</v>
      </c>
      <c r="H21" s="4" t="n">
        <v>3</v>
      </c>
      <c r="I21" s="4" t="s">
        <v>67</v>
      </c>
      <c r="J21" s="4"/>
      <c r="K21" s="4" t="s">
        <v>118</v>
      </c>
      <c r="L21" s="4" t="s">
        <v>119</v>
      </c>
      <c r="M21" s="4" t="s">
        <v>53</v>
      </c>
      <c r="N21" s="4" t="s">
        <v>42</v>
      </c>
      <c r="O21" s="4"/>
    </row>
    <row r="22" customFormat="false" ht="68.25" hidden="false" customHeight="true" outlineLevel="0" collapsed="false">
      <c r="A22" s="4" t="s">
        <v>108</v>
      </c>
      <c r="B22" s="4" t="s">
        <v>31</v>
      </c>
      <c r="C22" s="4" t="s">
        <v>32</v>
      </c>
      <c r="D22" s="4" t="s">
        <v>109</v>
      </c>
      <c r="E22" s="4" t="s">
        <v>60</v>
      </c>
      <c r="F22" s="4" t="s">
        <v>61</v>
      </c>
      <c r="G22" s="4" t="s">
        <v>120</v>
      </c>
      <c r="H22" s="4" t="n">
        <v>4</v>
      </c>
      <c r="I22" s="4" t="s">
        <v>62</v>
      </c>
      <c r="J22" s="4"/>
      <c r="K22" s="4" t="s">
        <v>121</v>
      </c>
      <c r="L22" s="4" t="s">
        <v>122</v>
      </c>
      <c r="M22" s="4" t="s">
        <v>53</v>
      </c>
      <c r="N22" s="4" t="s">
        <v>42</v>
      </c>
      <c r="O22" s="4"/>
    </row>
    <row r="23" customFormat="false" ht="68.25" hidden="false" customHeight="true" outlineLevel="0" collapsed="false">
      <c r="A23" s="4" t="s">
        <v>108</v>
      </c>
      <c r="B23" s="4" t="s">
        <v>31</v>
      </c>
      <c r="C23" s="4" t="s">
        <v>32</v>
      </c>
      <c r="D23" s="4" t="s">
        <v>109</v>
      </c>
      <c r="E23" s="4" t="s">
        <v>70</v>
      </c>
      <c r="F23" s="4" t="s">
        <v>123</v>
      </c>
      <c r="G23" s="4" t="s">
        <v>124</v>
      </c>
      <c r="H23" s="4" t="n">
        <v>3</v>
      </c>
      <c r="I23" s="4" t="s">
        <v>73</v>
      </c>
      <c r="J23" s="4" t="s">
        <v>125</v>
      </c>
      <c r="K23" s="4" t="s">
        <v>126</v>
      </c>
      <c r="L23" s="4" t="s">
        <v>127</v>
      </c>
      <c r="M23" s="4" t="s">
        <v>53</v>
      </c>
      <c r="N23" s="4" t="s">
        <v>42</v>
      </c>
      <c r="O23" s="4"/>
    </row>
    <row r="24" customFormat="false" ht="45.75" hidden="false" customHeight="true" outlineLevel="0" collapsed="false">
      <c r="A24" s="4" t="s">
        <v>108</v>
      </c>
      <c r="B24" s="4" t="s">
        <v>31</v>
      </c>
      <c r="C24" s="4" t="s">
        <v>32</v>
      </c>
      <c r="D24" s="4" t="s">
        <v>109</v>
      </c>
      <c r="E24" s="4" t="s">
        <v>70</v>
      </c>
      <c r="F24" s="4" t="s">
        <v>128</v>
      </c>
      <c r="G24" s="4" t="s">
        <v>129</v>
      </c>
      <c r="H24" s="4" t="n">
        <v>3</v>
      </c>
      <c r="I24" s="4" t="s">
        <v>67</v>
      </c>
      <c r="J24" s="4"/>
      <c r="K24" s="4" t="s">
        <v>130</v>
      </c>
      <c r="L24" s="4" t="s">
        <v>131</v>
      </c>
      <c r="M24" s="4" t="s">
        <v>53</v>
      </c>
      <c r="N24" s="4" t="s">
        <v>42</v>
      </c>
      <c r="O24" s="4"/>
    </row>
    <row r="25" customFormat="false" ht="57" hidden="false" customHeight="true" outlineLevel="0" collapsed="false">
      <c r="A25" s="4" t="s">
        <v>108</v>
      </c>
      <c r="B25" s="4" t="s">
        <v>31</v>
      </c>
      <c r="C25" s="4" t="s">
        <v>32</v>
      </c>
      <c r="D25" s="4" t="s">
        <v>109</v>
      </c>
      <c r="E25" s="4" t="s">
        <v>132</v>
      </c>
      <c r="F25" s="4" t="s">
        <v>133</v>
      </c>
      <c r="G25" s="4" t="s">
        <v>134</v>
      </c>
      <c r="H25" s="4" t="n">
        <v>3</v>
      </c>
      <c r="I25" s="4" t="s">
        <v>73</v>
      </c>
      <c r="J25" s="4"/>
      <c r="K25" s="4" t="s">
        <v>135</v>
      </c>
      <c r="L25" s="4" t="s">
        <v>136</v>
      </c>
      <c r="M25" s="4" t="s">
        <v>53</v>
      </c>
      <c r="N25" s="4" t="s">
        <v>42</v>
      </c>
      <c r="O25" s="4"/>
    </row>
    <row r="26" customFormat="false" ht="57" hidden="false" customHeight="true" outlineLevel="0" collapsed="false">
      <c r="A26" s="4" t="s">
        <v>108</v>
      </c>
      <c r="B26" s="4" t="s">
        <v>31</v>
      </c>
      <c r="C26" s="4" t="s">
        <v>32</v>
      </c>
      <c r="D26" s="4" t="s">
        <v>109</v>
      </c>
      <c r="E26" s="4" t="s">
        <v>137</v>
      </c>
      <c r="F26" s="4" t="s">
        <v>138</v>
      </c>
      <c r="G26" s="4" t="s">
        <v>139</v>
      </c>
      <c r="H26" s="4" t="n">
        <v>3</v>
      </c>
      <c r="I26" s="4" t="s">
        <v>67</v>
      </c>
      <c r="J26" s="4"/>
      <c r="K26" s="4" t="s">
        <v>140</v>
      </c>
      <c r="L26" s="4" t="s">
        <v>141</v>
      </c>
      <c r="M26" s="4" t="s">
        <v>107</v>
      </c>
      <c r="N26" s="4" t="s">
        <v>42</v>
      </c>
      <c r="O26" s="4"/>
    </row>
    <row r="27" customFormat="false" ht="68.25" hidden="false" customHeight="true" outlineLevel="0" collapsed="false">
      <c r="A27" s="4" t="s">
        <v>142</v>
      </c>
      <c r="B27" s="4" t="s">
        <v>31</v>
      </c>
      <c r="C27" s="4" t="s">
        <v>32</v>
      </c>
      <c r="D27" s="4" t="s">
        <v>143</v>
      </c>
      <c r="E27" s="4" t="s">
        <v>144</v>
      </c>
      <c r="F27" s="4" t="s">
        <v>145</v>
      </c>
      <c r="G27" s="4" t="s">
        <v>146</v>
      </c>
      <c r="H27" s="4" t="n">
        <v>3</v>
      </c>
      <c r="I27" s="4" t="s">
        <v>67</v>
      </c>
      <c r="J27" s="4"/>
      <c r="K27" s="4" t="s">
        <v>147</v>
      </c>
      <c r="L27" s="4" t="s">
        <v>148</v>
      </c>
      <c r="M27" s="4" t="s">
        <v>107</v>
      </c>
      <c r="N27" s="4" t="s">
        <v>42</v>
      </c>
      <c r="O27" s="4"/>
    </row>
    <row r="28" customFormat="false" ht="57" hidden="false" customHeight="true" outlineLevel="0" collapsed="false">
      <c r="A28" s="4" t="s">
        <v>142</v>
      </c>
      <c r="B28" s="4" t="s">
        <v>31</v>
      </c>
      <c r="C28" s="4" t="s">
        <v>32</v>
      </c>
      <c r="D28" s="4" t="s">
        <v>143</v>
      </c>
      <c r="E28" s="4" t="s">
        <v>43</v>
      </c>
      <c r="F28" s="4" t="s">
        <v>110</v>
      </c>
      <c r="G28" s="4" t="s">
        <v>56</v>
      </c>
      <c r="H28" s="4" t="n">
        <v>3</v>
      </c>
      <c r="I28" s="4" t="s">
        <v>46</v>
      </c>
      <c r="J28" s="4"/>
      <c r="K28" s="4" t="s">
        <v>149</v>
      </c>
      <c r="L28" s="4" t="s">
        <v>150</v>
      </c>
      <c r="M28" s="4" t="s">
        <v>41</v>
      </c>
      <c r="N28" s="4" t="s">
        <v>42</v>
      </c>
      <c r="O28" s="4"/>
    </row>
    <row r="29" customFormat="false" ht="57" hidden="false" customHeight="true" outlineLevel="0" collapsed="false">
      <c r="A29" s="4" t="s">
        <v>142</v>
      </c>
      <c r="B29" s="4" t="s">
        <v>31</v>
      </c>
      <c r="C29" s="4" t="s">
        <v>32</v>
      </c>
      <c r="D29" s="4" t="s">
        <v>143</v>
      </c>
      <c r="E29" s="4" t="s">
        <v>43</v>
      </c>
      <c r="F29" s="4" t="s">
        <v>44</v>
      </c>
      <c r="G29" s="4" t="s">
        <v>151</v>
      </c>
      <c r="H29" s="4" t="n">
        <v>3</v>
      </c>
      <c r="I29" s="4" t="s">
        <v>67</v>
      </c>
      <c r="J29" s="4"/>
      <c r="K29" s="4" t="s">
        <v>152</v>
      </c>
      <c r="L29" s="4" t="s">
        <v>153</v>
      </c>
      <c r="M29" s="4" t="s">
        <v>41</v>
      </c>
      <c r="N29" s="4" t="s">
        <v>42</v>
      </c>
      <c r="O29" s="4"/>
    </row>
    <row r="30" customFormat="false" ht="68.25" hidden="false" customHeight="true" outlineLevel="0" collapsed="false">
      <c r="A30" s="4" t="s">
        <v>142</v>
      </c>
      <c r="B30" s="4" t="s">
        <v>31</v>
      </c>
      <c r="C30" s="4" t="s">
        <v>32</v>
      </c>
      <c r="D30" s="4" t="s">
        <v>143</v>
      </c>
      <c r="E30" s="4" t="s">
        <v>49</v>
      </c>
      <c r="F30" s="4" t="s">
        <v>50</v>
      </c>
      <c r="G30" s="4" t="s">
        <v>154</v>
      </c>
      <c r="H30" s="4" t="n">
        <v>3</v>
      </c>
      <c r="I30" s="4" t="s">
        <v>37</v>
      </c>
      <c r="J30" s="4"/>
      <c r="K30" s="4" t="s">
        <v>155</v>
      </c>
      <c r="L30" s="4" t="s">
        <v>156</v>
      </c>
      <c r="M30" s="4" t="s">
        <v>107</v>
      </c>
      <c r="N30" s="4" t="s">
        <v>42</v>
      </c>
      <c r="O30" s="4"/>
    </row>
    <row r="31" customFormat="false" ht="79.5" hidden="false" customHeight="true" outlineLevel="0" collapsed="false">
      <c r="A31" s="4" t="s">
        <v>142</v>
      </c>
      <c r="B31" s="4" t="s">
        <v>31</v>
      </c>
      <c r="C31" s="4" t="s">
        <v>32</v>
      </c>
      <c r="D31" s="4" t="s">
        <v>143</v>
      </c>
      <c r="E31" s="4" t="s">
        <v>60</v>
      </c>
      <c r="F31" s="4" t="s">
        <v>61</v>
      </c>
      <c r="G31" s="4" t="s">
        <v>157</v>
      </c>
      <c r="H31" s="4" t="n">
        <v>3</v>
      </c>
      <c r="I31" s="4" t="s">
        <v>62</v>
      </c>
      <c r="J31" s="4"/>
      <c r="K31" s="4" t="s">
        <v>158</v>
      </c>
      <c r="L31" s="4" t="s">
        <v>159</v>
      </c>
      <c r="M31" s="4" t="s">
        <v>53</v>
      </c>
      <c r="N31" s="4" t="s">
        <v>42</v>
      </c>
      <c r="O31" s="4"/>
    </row>
    <row r="32" customFormat="false" ht="68.25" hidden="false" customHeight="true" outlineLevel="0" collapsed="false">
      <c r="A32" s="4" t="s">
        <v>142</v>
      </c>
      <c r="B32" s="4" t="s">
        <v>31</v>
      </c>
      <c r="C32" s="4" t="s">
        <v>32</v>
      </c>
      <c r="D32" s="4" t="s">
        <v>143</v>
      </c>
      <c r="E32" s="4" t="s">
        <v>54</v>
      </c>
      <c r="F32" s="4" t="s">
        <v>104</v>
      </c>
      <c r="G32" s="4" t="s">
        <v>160</v>
      </c>
      <c r="H32" s="4" t="n">
        <v>3</v>
      </c>
      <c r="I32" s="4" t="s">
        <v>67</v>
      </c>
      <c r="J32" s="4"/>
      <c r="K32" s="4" t="s">
        <v>161</v>
      </c>
      <c r="L32" s="4" t="s">
        <v>162</v>
      </c>
      <c r="M32" s="4" t="s">
        <v>53</v>
      </c>
      <c r="N32" s="4" t="s">
        <v>42</v>
      </c>
      <c r="O32" s="4"/>
    </row>
    <row r="33" customFormat="false" ht="79.5" hidden="false" customHeight="true" outlineLevel="0" collapsed="false">
      <c r="A33" s="4" t="s">
        <v>142</v>
      </c>
      <c r="B33" s="4" t="s">
        <v>31</v>
      </c>
      <c r="C33" s="4" t="s">
        <v>32</v>
      </c>
      <c r="D33" s="4" t="s">
        <v>143</v>
      </c>
      <c r="E33" s="4" t="s">
        <v>70</v>
      </c>
      <c r="F33" s="4" t="s">
        <v>163</v>
      </c>
      <c r="G33" s="4" t="s">
        <v>164</v>
      </c>
      <c r="H33" s="4" t="n">
        <v>3</v>
      </c>
      <c r="I33" s="4" t="s">
        <v>62</v>
      </c>
      <c r="J33" s="4"/>
      <c r="K33" s="4" t="s">
        <v>165</v>
      </c>
      <c r="L33" s="4" t="s">
        <v>166</v>
      </c>
      <c r="M33" s="4" t="s">
        <v>41</v>
      </c>
      <c r="N33" s="4" t="s">
        <v>42</v>
      </c>
      <c r="O33" s="4"/>
    </row>
    <row r="34" customFormat="false" ht="57" hidden="false" customHeight="true" outlineLevel="0" collapsed="false">
      <c r="A34" s="4" t="s">
        <v>30</v>
      </c>
      <c r="B34" s="4" t="s">
        <v>167</v>
      </c>
      <c r="C34" s="4" t="s">
        <v>168</v>
      </c>
      <c r="D34" s="4" t="s">
        <v>169</v>
      </c>
      <c r="E34" s="4" t="s">
        <v>170</v>
      </c>
      <c r="F34" s="4" t="s">
        <v>171</v>
      </c>
      <c r="G34" s="4" t="s">
        <v>45</v>
      </c>
      <c r="H34" s="4" t="n">
        <v>5</v>
      </c>
      <c r="I34" s="4" t="s">
        <v>37</v>
      </c>
      <c r="J34" s="4"/>
      <c r="K34" s="4" t="s">
        <v>172</v>
      </c>
      <c r="L34" s="4" t="s">
        <v>173</v>
      </c>
      <c r="M34" s="4" t="s">
        <v>41</v>
      </c>
      <c r="N34" s="4" t="s">
        <v>42</v>
      </c>
      <c r="O34" s="4"/>
    </row>
    <row r="35" customFormat="false" ht="57" hidden="false" customHeight="true" outlineLevel="0" collapsed="false">
      <c r="A35" s="4" t="s">
        <v>30</v>
      </c>
      <c r="B35" s="4" t="s">
        <v>167</v>
      </c>
      <c r="C35" s="4" t="s">
        <v>168</v>
      </c>
      <c r="D35" s="4" t="s">
        <v>169</v>
      </c>
      <c r="E35" s="4" t="s">
        <v>174</v>
      </c>
      <c r="F35" s="4" t="s">
        <v>175</v>
      </c>
      <c r="G35" s="4" t="s">
        <v>176</v>
      </c>
      <c r="H35" s="4" t="n">
        <v>5</v>
      </c>
      <c r="I35" s="4" t="s">
        <v>46</v>
      </c>
      <c r="J35" s="4" t="s">
        <v>177</v>
      </c>
      <c r="K35" s="4" t="s">
        <v>178</v>
      </c>
      <c r="L35" s="4" t="s">
        <v>179</v>
      </c>
      <c r="M35" s="4" t="s">
        <v>53</v>
      </c>
      <c r="N35" s="4" t="s">
        <v>42</v>
      </c>
      <c r="O35" s="4"/>
    </row>
    <row r="36" customFormat="false" ht="57" hidden="false" customHeight="true" outlineLevel="0" collapsed="false">
      <c r="A36" s="4" t="s">
        <v>30</v>
      </c>
      <c r="B36" s="4" t="s">
        <v>167</v>
      </c>
      <c r="C36" s="4" t="s">
        <v>168</v>
      </c>
      <c r="D36" s="4" t="s">
        <v>169</v>
      </c>
      <c r="E36" s="4" t="s">
        <v>144</v>
      </c>
      <c r="F36" s="4" t="s">
        <v>180</v>
      </c>
      <c r="G36" s="4" t="s">
        <v>181</v>
      </c>
      <c r="H36" s="4" t="n">
        <v>4</v>
      </c>
      <c r="I36" s="4" t="s">
        <v>46</v>
      </c>
      <c r="J36" s="4" t="s">
        <v>182</v>
      </c>
      <c r="K36" s="4" t="s">
        <v>183</v>
      </c>
      <c r="L36" s="4" t="s">
        <v>184</v>
      </c>
      <c r="M36" s="4" t="s">
        <v>53</v>
      </c>
      <c r="N36" s="4" t="s">
        <v>42</v>
      </c>
      <c r="O36" s="4"/>
    </row>
    <row r="37" customFormat="false" ht="68.25" hidden="false" customHeight="true" outlineLevel="0" collapsed="false">
      <c r="A37" s="4" t="s">
        <v>30</v>
      </c>
      <c r="B37" s="4" t="s">
        <v>167</v>
      </c>
      <c r="C37" s="4" t="s">
        <v>168</v>
      </c>
      <c r="D37" s="4" t="s">
        <v>169</v>
      </c>
      <c r="E37" s="4" t="s">
        <v>54</v>
      </c>
      <c r="F37" s="4" t="s">
        <v>94</v>
      </c>
      <c r="G37" s="4" t="s">
        <v>56</v>
      </c>
      <c r="H37" s="4" t="n">
        <v>5</v>
      </c>
      <c r="I37" s="4" t="s">
        <v>37</v>
      </c>
      <c r="J37" s="4" t="s">
        <v>185</v>
      </c>
      <c r="K37" s="4" t="s">
        <v>186</v>
      </c>
      <c r="L37" s="4" t="s">
        <v>187</v>
      </c>
      <c r="M37" s="4" t="s">
        <v>41</v>
      </c>
      <c r="N37" s="4" t="s">
        <v>42</v>
      </c>
      <c r="O37" s="4"/>
    </row>
    <row r="38" customFormat="false" ht="57" hidden="false" customHeight="true" outlineLevel="0" collapsed="false">
      <c r="A38" s="4" t="s">
        <v>30</v>
      </c>
      <c r="B38" s="4" t="s">
        <v>167</v>
      </c>
      <c r="C38" s="4" t="s">
        <v>168</v>
      </c>
      <c r="D38" s="4" t="s">
        <v>169</v>
      </c>
      <c r="E38" s="4" t="s">
        <v>132</v>
      </c>
      <c r="F38" s="4" t="s">
        <v>188</v>
      </c>
      <c r="G38" s="4" t="s">
        <v>45</v>
      </c>
      <c r="H38" s="4" t="n">
        <v>4</v>
      </c>
      <c r="I38" s="4" t="s">
        <v>37</v>
      </c>
      <c r="J38" s="4" t="s">
        <v>189</v>
      </c>
      <c r="K38" s="4" t="s">
        <v>190</v>
      </c>
      <c r="L38" s="4" t="s">
        <v>191</v>
      </c>
      <c r="M38" s="4" t="s">
        <v>41</v>
      </c>
      <c r="N38" s="4" t="s">
        <v>42</v>
      </c>
      <c r="O38" s="4"/>
    </row>
    <row r="39" customFormat="false" ht="57" hidden="false" customHeight="true" outlineLevel="0" collapsed="false">
      <c r="A39" s="4" t="s">
        <v>30</v>
      </c>
      <c r="B39" s="4" t="s">
        <v>167</v>
      </c>
      <c r="C39" s="4" t="s">
        <v>168</v>
      </c>
      <c r="D39" s="4" t="s">
        <v>169</v>
      </c>
      <c r="E39" s="4" t="s">
        <v>34</v>
      </c>
      <c r="F39" s="4" t="s">
        <v>35</v>
      </c>
      <c r="G39" s="4" t="s">
        <v>192</v>
      </c>
      <c r="H39" s="4" t="n">
        <v>4</v>
      </c>
      <c r="I39" s="4" t="s">
        <v>37</v>
      </c>
      <c r="J39" s="4"/>
      <c r="K39" s="4" t="s">
        <v>193</v>
      </c>
      <c r="L39" s="4" t="s">
        <v>194</v>
      </c>
      <c r="M39" s="4" t="s">
        <v>53</v>
      </c>
      <c r="N39" s="4" t="s">
        <v>42</v>
      </c>
      <c r="O39" s="4"/>
    </row>
    <row r="40" customFormat="false" ht="57" hidden="false" customHeight="true" outlineLevel="0" collapsed="false">
      <c r="A40" s="4" t="s">
        <v>30</v>
      </c>
      <c r="B40" s="4" t="s">
        <v>167</v>
      </c>
      <c r="C40" s="4" t="s">
        <v>168</v>
      </c>
      <c r="D40" s="4" t="s">
        <v>169</v>
      </c>
      <c r="E40" s="4" t="s">
        <v>195</v>
      </c>
      <c r="F40" s="4" t="s">
        <v>196</v>
      </c>
      <c r="G40" s="4" t="s">
        <v>197</v>
      </c>
      <c r="H40" s="4" t="n">
        <v>2</v>
      </c>
      <c r="I40" s="4" t="s">
        <v>37</v>
      </c>
      <c r="J40" s="4"/>
      <c r="K40" s="4" t="s">
        <v>198</v>
      </c>
      <c r="L40" s="4" t="s">
        <v>199</v>
      </c>
      <c r="M40" s="4" t="s">
        <v>53</v>
      </c>
      <c r="N40" s="4" t="s">
        <v>42</v>
      </c>
      <c r="O40" s="4"/>
    </row>
    <row r="41" customFormat="false" ht="68.25" hidden="false" customHeight="true" outlineLevel="0" collapsed="false">
      <c r="A41" s="4" t="s">
        <v>30</v>
      </c>
      <c r="B41" s="4" t="s">
        <v>167</v>
      </c>
      <c r="C41" s="4" t="s">
        <v>168</v>
      </c>
      <c r="D41" s="4" t="s">
        <v>169</v>
      </c>
      <c r="E41" s="4" t="s">
        <v>200</v>
      </c>
      <c r="F41" s="4" t="s">
        <v>201</v>
      </c>
      <c r="G41" s="4" t="s">
        <v>202</v>
      </c>
      <c r="H41" s="4" t="n">
        <v>3</v>
      </c>
      <c r="I41" s="4" t="s">
        <v>46</v>
      </c>
      <c r="J41" s="4" t="s">
        <v>203</v>
      </c>
      <c r="K41" s="4" t="s">
        <v>204</v>
      </c>
      <c r="L41" s="4" t="s">
        <v>205</v>
      </c>
      <c r="M41" s="4" t="s">
        <v>41</v>
      </c>
      <c r="N41" s="4" t="s">
        <v>42</v>
      </c>
      <c r="O41" s="4"/>
    </row>
    <row r="42" customFormat="false" ht="45.75" hidden="false" customHeight="true" outlineLevel="0" collapsed="false">
      <c r="A42" s="4" t="s">
        <v>206</v>
      </c>
      <c r="B42" s="4" t="s">
        <v>31</v>
      </c>
      <c r="C42" s="4" t="s">
        <v>207</v>
      </c>
      <c r="D42" s="4" t="s">
        <v>208</v>
      </c>
      <c r="E42" s="4" t="s">
        <v>43</v>
      </c>
      <c r="F42" s="4" t="s">
        <v>209</v>
      </c>
      <c r="G42" s="4" t="s">
        <v>56</v>
      </c>
      <c r="H42" s="4" t="n">
        <v>4</v>
      </c>
      <c r="I42" s="4" t="s">
        <v>62</v>
      </c>
      <c r="J42" s="4" t="s">
        <v>210</v>
      </c>
      <c r="K42" s="4" t="s">
        <v>211</v>
      </c>
      <c r="L42" s="4" t="s">
        <v>212</v>
      </c>
      <c r="M42" s="4" t="s">
        <v>41</v>
      </c>
      <c r="N42" s="4" t="s">
        <v>42</v>
      </c>
      <c r="O42" s="4"/>
    </row>
    <row r="43" customFormat="false" ht="45.75" hidden="false" customHeight="true" outlineLevel="0" collapsed="false">
      <c r="A43" s="4" t="s">
        <v>206</v>
      </c>
      <c r="B43" s="4" t="s">
        <v>31</v>
      </c>
      <c r="C43" s="4" t="s">
        <v>207</v>
      </c>
      <c r="D43" s="4" t="s">
        <v>208</v>
      </c>
      <c r="E43" s="4" t="s">
        <v>213</v>
      </c>
      <c r="F43" s="4" t="s">
        <v>214</v>
      </c>
      <c r="G43" s="4" t="s">
        <v>83</v>
      </c>
      <c r="H43" s="4" t="n">
        <v>3</v>
      </c>
      <c r="I43" s="4" t="s">
        <v>37</v>
      </c>
      <c r="J43" s="4" t="s">
        <v>215</v>
      </c>
      <c r="K43" s="4" t="s">
        <v>216</v>
      </c>
      <c r="L43" s="4" t="s">
        <v>217</v>
      </c>
      <c r="M43" s="4" t="s">
        <v>41</v>
      </c>
      <c r="N43" s="4" t="s">
        <v>42</v>
      </c>
      <c r="O43" s="4"/>
    </row>
    <row r="44" customFormat="false" ht="45.75" hidden="false" customHeight="true" outlineLevel="0" collapsed="false">
      <c r="A44" s="4" t="s">
        <v>206</v>
      </c>
      <c r="B44" s="4" t="s">
        <v>31</v>
      </c>
      <c r="C44" s="4" t="s">
        <v>207</v>
      </c>
      <c r="D44" s="4" t="s">
        <v>208</v>
      </c>
      <c r="E44" s="4" t="s">
        <v>218</v>
      </c>
      <c r="F44" s="4" t="s">
        <v>219</v>
      </c>
      <c r="G44" s="4" t="s">
        <v>83</v>
      </c>
      <c r="H44" s="4" t="n">
        <v>3</v>
      </c>
      <c r="I44" s="4" t="s">
        <v>37</v>
      </c>
      <c r="J44" s="4" t="s">
        <v>220</v>
      </c>
      <c r="K44" s="4" t="s">
        <v>221</v>
      </c>
      <c r="L44" s="4" t="s">
        <v>222</v>
      </c>
      <c r="M44" s="4" t="s">
        <v>53</v>
      </c>
      <c r="N44" s="4" t="s">
        <v>42</v>
      </c>
      <c r="O44" s="4"/>
    </row>
    <row r="45" customFormat="false" ht="45.75" hidden="false" customHeight="true" outlineLevel="0" collapsed="false">
      <c r="A45" s="4" t="s">
        <v>206</v>
      </c>
      <c r="B45" s="4" t="s">
        <v>31</v>
      </c>
      <c r="C45" s="4" t="s">
        <v>207</v>
      </c>
      <c r="D45" s="4" t="s">
        <v>208</v>
      </c>
      <c r="E45" s="4" t="s">
        <v>213</v>
      </c>
      <c r="F45" s="4" t="s">
        <v>90</v>
      </c>
      <c r="G45" s="4" t="s">
        <v>83</v>
      </c>
      <c r="H45" s="4" t="n">
        <v>3</v>
      </c>
      <c r="I45" s="4" t="s">
        <v>67</v>
      </c>
      <c r="J45" s="4" t="s">
        <v>223</v>
      </c>
      <c r="K45" s="4" t="s">
        <v>224</v>
      </c>
      <c r="L45" s="4" t="s">
        <v>225</v>
      </c>
      <c r="M45" s="4" t="s">
        <v>41</v>
      </c>
      <c r="N45" s="4" t="s">
        <v>42</v>
      </c>
      <c r="O45" s="4"/>
    </row>
    <row r="46" customFormat="false" ht="45.75" hidden="false" customHeight="true" outlineLevel="0" collapsed="false">
      <c r="A46" s="4" t="s">
        <v>206</v>
      </c>
      <c r="B46" s="4" t="s">
        <v>31</v>
      </c>
      <c r="C46" s="4" t="s">
        <v>207</v>
      </c>
      <c r="D46" s="4" t="s">
        <v>208</v>
      </c>
      <c r="E46" s="4" t="s">
        <v>54</v>
      </c>
      <c r="F46" s="4" t="s">
        <v>226</v>
      </c>
      <c r="G46" s="4" t="s">
        <v>56</v>
      </c>
      <c r="H46" s="4" t="n">
        <v>4</v>
      </c>
      <c r="I46" s="4" t="s">
        <v>62</v>
      </c>
      <c r="J46" s="4" t="s">
        <v>227</v>
      </c>
      <c r="K46" s="4" t="s">
        <v>228</v>
      </c>
      <c r="L46" s="4" t="s">
        <v>229</v>
      </c>
      <c r="M46" s="4" t="s">
        <v>41</v>
      </c>
      <c r="N46" s="4" t="s">
        <v>42</v>
      </c>
      <c r="O46" s="4"/>
    </row>
    <row r="47" customFormat="false" ht="45.75" hidden="false" customHeight="true" outlineLevel="0" collapsed="false">
      <c r="A47" s="4" t="s">
        <v>206</v>
      </c>
      <c r="B47" s="4" t="s">
        <v>31</v>
      </c>
      <c r="C47" s="4" t="s">
        <v>207</v>
      </c>
      <c r="D47" s="4" t="s">
        <v>208</v>
      </c>
      <c r="E47" s="4" t="s">
        <v>60</v>
      </c>
      <c r="F47" s="4" t="s">
        <v>61</v>
      </c>
      <c r="G47" s="4" t="s">
        <v>56</v>
      </c>
      <c r="H47" s="4" t="n">
        <v>4</v>
      </c>
      <c r="I47" s="4" t="s">
        <v>67</v>
      </c>
      <c r="J47" s="4" t="s">
        <v>230</v>
      </c>
      <c r="K47" s="4" t="s">
        <v>231</v>
      </c>
      <c r="L47" s="4" t="s">
        <v>232</v>
      </c>
      <c r="M47" s="4" t="s">
        <v>41</v>
      </c>
      <c r="N47" s="4" t="s">
        <v>42</v>
      </c>
      <c r="O47" s="4"/>
    </row>
    <row r="48" customFormat="false" ht="57" hidden="false" customHeight="true" outlineLevel="0" collapsed="false">
      <c r="A48" s="4" t="s">
        <v>206</v>
      </c>
      <c r="B48" s="4" t="s">
        <v>31</v>
      </c>
      <c r="C48" s="4" t="s">
        <v>207</v>
      </c>
      <c r="D48" s="4" t="s">
        <v>208</v>
      </c>
      <c r="E48" s="4" t="s">
        <v>132</v>
      </c>
      <c r="F48" s="4" t="s">
        <v>233</v>
      </c>
      <c r="G48" s="4" t="s">
        <v>56</v>
      </c>
      <c r="H48" s="4" t="n">
        <v>4</v>
      </c>
      <c r="I48" s="4" t="s">
        <v>62</v>
      </c>
      <c r="J48" s="4" t="s">
        <v>234</v>
      </c>
      <c r="K48" s="4" t="s">
        <v>235</v>
      </c>
      <c r="L48" s="4" t="s">
        <v>236</v>
      </c>
      <c r="M48" s="4" t="s">
        <v>53</v>
      </c>
      <c r="N48" s="4" t="s">
        <v>42</v>
      </c>
      <c r="O48" s="4"/>
    </row>
    <row r="49" customFormat="false" ht="57" hidden="false" customHeight="true" outlineLevel="0" collapsed="false">
      <c r="A49" s="4" t="s">
        <v>206</v>
      </c>
      <c r="B49" s="4" t="s">
        <v>31</v>
      </c>
      <c r="C49" s="4" t="s">
        <v>207</v>
      </c>
      <c r="D49" s="4" t="s">
        <v>208</v>
      </c>
      <c r="E49" s="4" t="s">
        <v>54</v>
      </c>
      <c r="F49" s="4" t="s">
        <v>237</v>
      </c>
      <c r="G49" s="4" t="s">
        <v>83</v>
      </c>
      <c r="H49" s="4" t="n">
        <v>3</v>
      </c>
      <c r="I49" s="4" t="s">
        <v>67</v>
      </c>
      <c r="J49" s="4" t="s">
        <v>238</v>
      </c>
      <c r="K49" s="4" t="s">
        <v>239</v>
      </c>
      <c r="L49" s="4" t="s">
        <v>240</v>
      </c>
      <c r="M49" s="4" t="s">
        <v>53</v>
      </c>
      <c r="N49" s="4" t="s">
        <v>42</v>
      </c>
      <c r="O49" s="4"/>
    </row>
    <row r="50" customFormat="false" ht="34.5" hidden="false" customHeight="true" outlineLevel="0" collapsed="false">
      <c r="A50" s="4" t="s">
        <v>206</v>
      </c>
      <c r="B50" s="4" t="s">
        <v>31</v>
      </c>
      <c r="C50" s="4" t="s">
        <v>207</v>
      </c>
      <c r="D50" s="4" t="s">
        <v>208</v>
      </c>
      <c r="E50" s="4" t="s">
        <v>34</v>
      </c>
      <c r="F50" s="4" t="s">
        <v>241</v>
      </c>
      <c r="G50" s="4" t="s">
        <v>45</v>
      </c>
      <c r="H50" s="4" t="n">
        <v>3</v>
      </c>
      <c r="I50" s="4" t="s">
        <v>62</v>
      </c>
      <c r="J50" s="4" t="s">
        <v>242</v>
      </c>
      <c r="K50" s="4" t="s">
        <v>243</v>
      </c>
      <c r="L50" s="4" t="s">
        <v>244</v>
      </c>
      <c r="M50" s="4" t="s">
        <v>53</v>
      </c>
      <c r="N50" s="4" t="s">
        <v>42</v>
      </c>
      <c r="O50" s="4"/>
    </row>
    <row r="51" customFormat="false" ht="45.75" hidden="false" customHeight="true" outlineLevel="0" collapsed="false">
      <c r="A51" s="4" t="s">
        <v>206</v>
      </c>
      <c r="B51" s="4" t="s">
        <v>31</v>
      </c>
      <c r="C51" s="4" t="s">
        <v>207</v>
      </c>
      <c r="D51" s="4" t="s">
        <v>208</v>
      </c>
      <c r="E51" s="4" t="s">
        <v>54</v>
      </c>
      <c r="F51" s="4" t="s">
        <v>245</v>
      </c>
      <c r="G51" s="4" t="s">
        <v>56</v>
      </c>
      <c r="H51" s="4" t="n">
        <v>3</v>
      </c>
      <c r="I51" s="4" t="s">
        <v>67</v>
      </c>
      <c r="J51" s="4" t="s">
        <v>246</v>
      </c>
      <c r="K51" s="4" t="s">
        <v>247</v>
      </c>
      <c r="L51" s="4" t="s">
        <v>248</v>
      </c>
      <c r="M51" s="4" t="s">
        <v>53</v>
      </c>
      <c r="N51" s="4" t="s">
        <v>42</v>
      </c>
      <c r="O51" s="4"/>
    </row>
    <row r="52" customFormat="false" ht="57" hidden="false" customHeight="true" outlineLevel="0" collapsed="false">
      <c r="A52" s="4" t="s">
        <v>249</v>
      </c>
      <c r="B52" s="4" t="s">
        <v>167</v>
      </c>
      <c r="C52" s="4" t="s">
        <v>168</v>
      </c>
      <c r="D52" s="4" t="s">
        <v>250</v>
      </c>
      <c r="E52" s="4" t="s">
        <v>251</v>
      </c>
      <c r="F52" s="4" t="s">
        <v>252</v>
      </c>
      <c r="G52" s="4" t="s">
        <v>45</v>
      </c>
      <c r="H52" s="4" t="n">
        <v>4</v>
      </c>
      <c r="I52" s="4" t="s">
        <v>37</v>
      </c>
      <c r="J52" s="4" t="s">
        <v>253</v>
      </c>
      <c r="K52" s="4" t="s">
        <v>254</v>
      </c>
      <c r="L52" s="4" t="s">
        <v>255</v>
      </c>
      <c r="M52" s="4" t="s">
        <v>53</v>
      </c>
      <c r="N52" s="4" t="s">
        <v>42</v>
      </c>
      <c r="O52" s="4"/>
    </row>
    <row r="53" customFormat="false" ht="45.75" hidden="false" customHeight="true" outlineLevel="0" collapsed="false">
      <c r="A53" s="4" t="s">
        <v>249</v>
      </c>
      <c r="B53" s="4" t="s">
        <v>167</v>
      </c>
      <c r="C53" s="4" t="s">
        <v>168</v>
      </c>
      <c r="D53" s="4" t="s">
        <v>250</v>
      </c>
      <c r="E53" s="4" t="s">
        <v>132</v>
      </c>
      <c r="F53" s="4" t="s">
        <v>188</v>
      </c>
      <c r="G53" s="4" t="s">
        <v>45</v>
      </c>
      <c r="H53" s="4" t="n">
        <v>4</v>
      </c>
      <c r="I53" s="4" t="s">
        <v>37</v>
      </c>
      <c r="J53" s="4" t="s">
        <v>256</v>
      </c>
      <c r="K53" s="4" t="s">
        <v>257</v>
      </c>
      <c r="L53" s="4" t="s">
        <v>258</v>
      </c>
      <c r="M53" s="4" t="s">
        <v>53</v>
      </c>
      <c r="N53" s="4" t="s">
        <v>42</v>
      </c>
      <c r="O53" s="4"/>
    </row>
    <row r="54" customFormat="false" ht="57" hidden="false" customHeight="true" outlineLevel="0" collapsed="false">
      <c r="A54" s="4" t="s">
        <v>249</v>
      </c>
      <c r="B54" s="4" t="s">
        <v>167</v>
      </c>
      <c r="C54" s="4" t="s">
        <v>168</v>
      </c>
      <c r="D54" s="4" t="s">
        <v>250</v>
      </c>
      <c r="E54" s="4" t="s">
        <v>259</v>
      </c>
      <c r="F54" s="4" t="s">
        <v>260</v>
      </c>
      <c r="G54" s="4" t="s">
        <v>261</v>
      </c>
      <c r="H54" s="4" t="n">
        <v>4</v>
      </c>
      <c r="I54" s="4" t="s">
        <v>37</v>
      </c>
      <c r="J54" s="4" t="s">
        <v>262</v>
      </c>
      <c r="K54" s="4" t="s">
        <v>263</v>
      </c>
      <c r="L54" s="4" t="s">
        <v>264</v>
      </c>
      <c r="M54" s="4" t="s">
        <v>53</v>
      </c>
      <c r="N54" s="4" t="s">
        <v>42</v>
      </c>
      <c r="O54" s="4"/>
    </row>
    <row r="55" customFormat="false" ht="57" hidden="false" customHeight="true" outlineLevel="0" collapsed="false">
      <c r="A55" s="4" t="s">
        <v>249</v>
      </c>
      <c r="B55" s="4" t="s">
        <v>167</v>
      </c>
      <c r="C55" s="4" t="s">
        <v>168</v>
      </c>
      <c r="D55" s="4" t="s">
        <v>250</v>
      </c>
      <c r="E55" s="4" t="s">
        <v>34</v>
      </c>
      <c r="F55" s="4" t="s">
        <v>241</v>
      </c>
      <c r="G55" s="4" t="s">
        <v>56</v>
      </c>
      <c r="H55" s="4" t="n">
        <v>3</v>
      </c>
      <c r="I55" s="4" t="s">
        <v>37</v>
      </c>
      <c r="J55" s="4" t="s">
        <v>265</v>
      </c>
      <c r="K55" s="4" t="s">
        <v>266</v>
      </c>
      <c r="L55" s="4" t="s">
        <v>267</v>
      </c>
      <c r="M55" s="4" t="s">
        <v>53</v>
      </c>
      <c r="N55" s="4" t="s">
        <v>42</v>
      </c>
      <c r="O55" s="4"/>
    </row>
    <row r="56" customFormat="false" ht="45.75" hidden="false" customHeight="true" outlineLevel="0" collapsed="false">
      <c r="A56" s="4" t="s">
        <v>249</v>
      </c>
      <c r="B56" s="4" t="s">
        <v>167</v>
      </c>
      <c r="C56" s="4" t="s">
        <v>168</v>
      </c>
      <c r="D56" s="4" t="s">
        <v>250</v>
      </c>
      <c r="E56" s="4" t="s">
        <v>174</v>
      </c>
      <c r="F56" s="4" t="s">
        <v>268</v>
      </c>
      <c r="G56" s="4" t="s">
        <v>269</v>
      </c>
      <c r="H56" s="4" t="n">
        <v>4</v>
      </c>
      <c r="I56" s="4" t="s">
        <v>37</v>
      </c>
      <c r="J56" s="4" t="s">
        <v>270</v>
      </c>
      <c r="K56" s="4" t="s">
        <v>271</v>
      </c>
      <c r="L56" s="4" t="s">
        <v>272</v>
      </c>
      <c r="M56" s="4" t="s">
        <v>53</v>
      </c>
      <c r="N56" s="4" t="s">
        <v>42</v>
      </c>
      <c r="O56" s="4"/>
    </row>
    <row r="57" customFormat="false" ht="45.75" hidden="false" customHeight="true" outlineLevel="0" collapsed="false">
      <c r="A57" s="4" t="s">
        <v>249</v>
      </c>
      <c r="B57" s="4" t="s">
        <v>167</v>
      </c>
      <c r="C57" s="4" t="s">
        <v>168</v>
      </c>
      <c r="D57" s="4" t="s">
        <v>250</v>
      </c>
      <c r="E57" s="4" t="s">
        <v>54</v>
      </c>
      <c r="F57" s="4" t="s">
        <v>273</v>
      </c>
      <c r="G57" s="4" t="s">
        <v>56</v>
      </c>
      <c r="H57" s="4" t="n">
        <v>3</v>
      </c>
      <c r="I57" s="4" t="s">
        <v>37</v>
      </c>
      <c r="J57" s="4" t="s">
        <v>274</v>
      </c>
      <c r="K57" s="4" t="s">
        <v>275</v>
      </c>
      <c r="L57" s="4" t="s">
        <v>276</v>
      </c>
      <c r="M57" s="4" t="s">
        <v>41</v>
      </c>
      <c r="N57" s="4" t="s">
        <v>42</v>
      </c>
      <c r="O57" s="4"/>
    </row>
    <row r="58" customFormat="false" ht="45.75" hidden="false" customHeight="true" outlineLevel="0" collapsed="false">
      <c r="A58" s="4" t="s">
        <v>249</v>
      </c>
      <c r="B58" s="4" t="s">
        <v>167</v>
      </c>
      <c r="C58" s="4" t="s">
        <v>168</v>
      </c>
      <c r="D58" s="4" t="s">
        <v>250</v>
      </c>
      <c r="E58" s="4" t="s">
        <v>213</v>
      </c>
      <c r="F58" s="4" t="s">
        <v>180</v>
      </c>
      <c r="G58" s="4" t="s">
        <v>277</v>
      </c>
      <c r="H58" s="4" t="n">
        <v>4</v>
      </c>
      <c r="I58" s="4" t="s">
        <v>37</v>
      </c>
      <c r="J58" s="4" t="s">
        <v>278</v>
      </c>
      <c r="K58" s="4" t="s">
        <v>279</v>
      </c>
      <c r="L58" s="4" t="s">
        <v>280</v>
      </c>
      <c r="M58" s="4" t="s">
        <v>53</v>
      </c>
      <c r="N58" s="4" t="s">
        <v>42</v>
      </c>
      <c r="O58" s="4"/>
    </row>
    <row r="59" customFormat="false" ht="45.75" hidden="false" customHeight="true" outlineLevel="0" collapsed="false">
      <c r="A59" s="4" t="s">
        <v>281</v>
      </c>
      <c r="B59" s="4" t="s">
        <v>167</v>
      </c>
      <c r="C59" s="4" t="s">
        <v>168</v>
      </c>
      <c r="D59" s="4" t="s">
        <v>282</v>
      </c>
      <c r="E59" s="4" t="s">
        <v>132</v>
      </c>
      <c r="F59" s="4" t="s">
        <v>283</v>
      </c>
      <c r="G59" s="4" t="s">
        <v>56</v>
      </c>
      <c r="H59" s="4" t="n">
        <v>4</v>
      </c>
      <c r="I59" s="4" t="s">
        <v>37</v>
      </c>
      <c r="J59" s="4" t="s">
        <v>284</v>
      </c>
      <c r="K59" s="4" t="s">
        <v>285</v>
      </c>
      <c r="L59" s="4" t="s">
        <v>286</v>
      </c>
      <c r="M59" s="4" t="s">
        <v>53</v>
      </c>
      <c r="N59" s="4" t="s">
        <v>42</v>
      </c>
      <c r="O59" s="4"/>
    </row>
    <row r="60" customFormat="false" ht="34.5" hidden="false" customHeight="true" outlineLevel="0" collapsed="false">
      <c r="A60" s="4" t="s">
        <v>281</v>
      </c>
      <c r="B60" s="4" t="s">
        <v>167</v>
      </c>
      <c r="C60" s="4" t="s">
        <v>168</v>
      </c>
      <c r="D60" s="4" t="s">
        <v>282</v>
      </c>
      <c r="E60" s="4" t="s">
        <v>132</v>
      </c>
      <c r="F60" s="4" t="s">
        <v>287</v>
      </c>
      <c r="G60" s="4" t="s">
        <v>288</v>
      </c>
      <c r="H60" s="4" t="n">
        <v>2</v>
      </c>
      <c r="I60" s="4" t="s">
        <v>37</v>
      </c>
      <c r="J60" s="4" t="s">
        <v>289</v>
      </c>
      <c r="K60" s="4" t="s">
        <v>290</v>
      </c>
      <c r="L60" s="4" t="s">
        <v>291</v>
      </c>
      <c r="M60" s="4" t="s">
        <v>53</v>
      </c>
      <c r="N60" s="4" t="s">
        <v>42</v>
      </c>
      <c r="O60" s="4"/>
    </row>
    <row r="61" customFormat="false" ht="34.5" hidden="false" customHeight="true" outlineLevel="0" collapsed="false">
      <c r="A61" s="4" t="s">
        <v>281</v>
      </c>
      <c r="B61" s="4" t="s">
        <v>167</v>
      </c>
      <c r="C61" s="4" t="s">
        <v>168</v>
      </c>
      <c r="D61" s="4" t="s">
        <v>282</v>
      </c>
      <c r="E61" s="4" t="s">
        <v>34</v>
      </c>
      <c r="F61" s="4" t="s">
        <v>292</v>
      </c>
      <c r="G61" s="4" t="s">
        <v>56</v>
      </c>
      <c r="H61" s="4" t="n">
        <v>3</v>
      </c>
      <c r="I61" s="4" t="s">
        <v>37</v>
      </c>
      <c r="J61" s="4" t="s">
        <v>293</v>
      </c>
      <c r="K61" s="4" t="s">
        <v>294</v>
      </c>
      <c r="L61" s="4" t="s">
        <v>295</v>
      </c>
      <c r="M61" s="4" t="s">
        <v>53</v>
      </c>
      <c r="N61" s="4" t="s">
        <v>42</v>
      </c>
      <c r="O61" s="4"/>
    </row>
    <row r="62" customFormat="false" ht="45.75" hidden="false" customHeight="true" outlineLevel="0" collapsed="false">
      <c r="A62" s="4" t="s">
        <v>281</v>
      </c>
      <c r="B62" s="4" t="s">
        <v>167</v>
      </c>
      <c r="C62" s="4" t="s">
        <v>168</v>
      </c>
      <c r="D62" s="4" t="s">
        <v>282</v>
      </c>
      <c r="E62" s="4" t="s">
        <v>54</v>
      </c>
      <c r="F62" s="4" t="s">
        <v>273</v>
      </c>
      <c r="G62" s="4" t="s">
        <v>296</v>
      </c>
      <c r="H62" s="4" t="n">
        <v>3</v>
      </c>
      <c r="I62" s="4" t="s">
        <v>37</v>
      </c>
      <c r="J62" s="4" t="s">
        <v>297</v>
      </c>
      <c r="K62" s="4" t="s">
        <v>298</v>
      </c>
      <c r="L62" s="4" t="s">
        <v>299</v>
      </c>
      <c r="M62" s="4" t="s">
        <v>41</v>
      </c>
      <c r="N62" s="4" t="s">
        <v>42</v>
      </c>
      <c r="O62" s="4"/>
    </row>
    <row r="63" customFormat="false" ht="57" hidden="false" customHeight="true" outlineLevel="0" collapsed="false">
      <c r="A63" s="4" t="s">
        <v>300</v>
      </c>
      <c r="B63" s="4" t="s">
        <v>167</v>
      </c>
      <c r="C63" s="4" t="s">
        <v>168</v>
      </c>
      <c r="D63" s="4" t="s">
        <v>301</v>
      </c>
      <c r="E63" s="4" t="s">
        <v>60</v>
      </c>
      <c r="F63" s="4" t="s">
        <v>61</v>
      </c>
      <c r="G63" s="4" t="s">
        <v>302</v>
      </c>
      <c r="H63" s="4" t="n">
        <v>3</v>
      </c>
      <c r="I63" s="4" t="s">
        <v>37</v>
      </c>
      <c r="J63" s="4" t="s">
        <v>303</v>
      </c>
      <c r="K63" s="4" t="s">
        <v>304</v>
      </c>
      <c r="L63" s="4" t="s">
        <v>305</v>
      </c>
      <c r="M63" s="4" t="s">
        <v>41</v>
      </c>
      <c r="N63" s="4" t="s">
        <v>42</v>
      </c>
      <c r="O63" s="4"/>
    </row>
    <row r="64" customFormat="false" ht="45.75" hidden="false" customHeight="true" outlineLevel="0" collapsed="false">
      <c r="A64" s="4" t="s">
        <v>300</v>
      </c>
      <c r="B64" s="4" t="s">
        <v>167</v>
      </c>
      <c r="C64" s="4" t="s">
        <v>168</v>
      </c>
      <c r="D64" s="4" t="s">
        <v>301</v>
      </c>
      <c r="E64" s="4" t="s">
        <v>60</v>
      </c>
      <c r="F64" s="4" t="s">
        <v>306</v>
      </c>
      <c r="G64" s="4" t="s">
        <v>307</v>
      </c>
      <c r="H64" s="4" t="n">
        <v>2</v>
      </c>
      <c r="I64" s="4" t="s">
        <v>37</v>
      </c>
      <c r="J64" s="4" t="s">
        <v>308</v>
      </c>
      <c r="K64" s="4" t="s">
        <v>309</v>
      </c>
      <c r="L64" s="4" t="s">
        <v>310</v>
      </c>
      <c r="M64" s="4" t="s">
        <v>41</v>
      </c>
      <c r="N64" s="4" t="s">
        <v>42</v>
      </c>
      <c r="O64" s="4"/>
    </row>
    <row r="65" customFormat="false" ht="79.5" hidden="false" customHeight="true" outlineLevel="0" collapsed="false">
      <c r="A65" s="5" t="s">
        <v>311</v>
      </c>
      <c r="B65" s="5" t="s">
        <v>167</v>
      </c>
      <c r="C65" s="5" t="s">
        <v>168</v>
      </c>
      <c r="D65" s="5" t="s">
        <v>312</v>
      </c>
      <c r="E65" s="5" t="s">
        <v>144</v>
      </c>
      <c r="F65" s="5" t="s">
        <v>180</v>
      </c>
      <c r="G65" s="5" t="s">
        <v>202</v>
      </c>
      <c r="H65" s="5" t="n">
        <v>5</v>
      </c>
      <c r="I65" s="5" t="s">
        <v>46</v>
      </c>
      <c r="J65" s="5" t="s">
        <v>313</v>
      </c>
      <c r="K65" s="5" t="s">
        <v>314</v>
      </c>
      <c r="L65" s="5" t="s">
        <v>315</v>
      </c>
      <c r="M65" s="5" t="s">
        <v>53</v>
      </c>
      <c r="N65" s="5" t="s">
        <v>42</v>
      </c>
      <c r="O65" s="5"/>
    </row>
    <row r="66" customFormat="false" ht="79.5" hidden="false" customHeight="true" outlineLevel="0" collapsed="false">
      <c r="A66" s="5" t="s">
        <v>311</v>
      </c>
      <c r="B66" s="5" t="s">
        <v>167</v>
      </c>
      <c r="C66" s="5" t="s">
        <v>168</v>
      </c>
      <c r="D66" s="5" t="s">
        <v>312</v>
      </c>
      <c r="E66" s="5" t="s">
        <v>174</v>
      </c>
      <c r="F66" s="5" t="s">
        <v>175</v>
      </c>
      <c r="G66" s="5" t="s">
        <v>176</v>
      </c>
      <c r="H66" s="5" t="n">
        <v>5</v>
      </c>
      <c r="I66" s="5" t="s">
        <v>46</v>
      </c>
      <c r="J66" s="5"/>
      <c r="K66" s="5" t="s">
        <v>316</v>
      </c>
      <c r="L66" s="5" t="s">
        <v>317</v>
      </c>
      <c r="M66" s="5" t="s">
        <v>53</v>
      </c>
      <c r="N66" s="5" t="s">
        <v>42</v>
      </c>
      <c r="O66" s="5"/>
    </row>
    <row r="67" customFormat="false" ht="57" hidden="false" customHeight="true" outlineLevel="0" collapsed="false">
      <c r="A67" s="5" t="s">
        <v>311</v>
      </c>
      <c r="B67" s="5" t="s">
        <v>167</v>
      </c>
      <c r="C67" s="5" t="s">
        <v>168</v>
      </c>
      <c r="D67" s="5" t="s">
        <v>312</v>
      </c>
      <c r="E67" s="5" t="s">
        <v>259</v>
      </c>
      <c r="F67" s="5" t="s">
        <v>260</v>
      </c>
      <c r="G67" s="5" t="s">
        <v>261</v>
      </c>
      <c r="H67" s="5" t="n">
        <v>4</v>
      </c>
      <c r="I67" s="5" t="s">
        <v>46</v>
      </c>
      <c r="J67" s="5"/>
      <c r="K67" s="5" t="s">
        <v>318</v>
      </c>
      <c r="L67" s="5" t="s">
        <v>319</v>
      </c>
      <c r="M67" s="5" t="s">
        <v>41</v>
      </c>
      <c r="N67" s="5" t="s">
        <v>42</v>
      </c>
      <c r="O67" s="5"/>
    </row>
    <row r="68" customFormat="false" ht="34.5" hidden="false" customHeight="true" outlineLevel="0" collapsed="false">
      <c r="A68" s="5" t="s">
        <v>320</v>
      </c>
      <c r="B68" s="5" t="s">
        <v>167</v>
      </c>
      <c r="C68" s="5" t="s">
        <v>321</v>
      </c>
      <c r="D68" s="5" t="s">
        <v>322</v>
      </c>
      <c r="E68" s="5" t="s">
        <v>132</v>
      </c>
      <c r="F68" s="5" t="s">
        <v>188</v>
      </c>
      <c r="G68" s="5" t="s">
        <v>323</v>
      </c>
      <c r="H68" s="5" t="n">
        <v>3</v>
      </c>
      <c r="I68" s="5" t="s">
        <v>37</v>
      </c>
      <c r="J68" s="5" t="s">
        <v>324</v>
      </c>
      <c r="K68" s="5" t="s">
        <v>325</v>
      </c>
      <c r="L68" s="5" t="s">
        <v>326</v>
      </c>
      <c r="M68" s="5" t="s">
        <v>107</v>
      </c>
      <c r="N68" s="5" t="s">
        <v>42</v>
      </c>
      <c r="O68" s="5"/>
    </row>
    <row r="69" customFormat="false" ht="34.5" hidden="false" customHeight="true" outlineLevel="0" collapsed="false">
      <c r="A69" s="5" t="s">
        <v>320</v>
      </c>
      <c r="B69" s="5" t="s">
        <v>167</v>
      </c>
      <c r="C69" s="5" t="s">
        <v>321</v>
      </c>
      <c r="D69" s="5" t="s">
        <v>322</v>
      </c>
      <c r="E69" s="5" t="s">
        <v>251</v>
      </c>
      <c r="F69" s="5" t="s">
        <v>252</v>
      </c>
      <c r="G69" s="5" t="s">
        <v>327</v>
      </c>
      <c r="H69" s="5" t="n">
        <v>4</v>
      </c>
      <c r="I69" s="5" t="s">
        <v>37</v>
      </c>
      <c r="J69" s="5" t="s">
        <v>328</v>
      </c>
      <c r="K69" s="5" t="s">
        <v>329</v>
      </c>
      <c r="L69" s="5" t="s">
        <v>330</v>
      </c>
      <c r="M69" s="5" t="s">
        <v>41</v>
      </c>
      <c r="N69" s="5" t="s">
        <v>42</v>
      </c>
      <c r="O69" s="5"/>
    </row>
    <row r="70" customFormat="false" ht="34.5" hidden="false" customHeight="true" outlineLevel="0" collapsed="false">
      <c r="A70" s="5" t="s">
        <v>320</v>
      </c>
      <c r="B70" s="5" t="s">
        <v>167</v>
      </c>
      <c r="C70" s="5" t="s">
        <v>321</v>
      </c>
      <c r="D70" s="5" t="s">
        <v>322</v>
      </c>
      <c r="E70" s="5" t="s">
        <v>331</v>
      </c>
      <c r="F70" s="5" t="s">
        <v>332</v>
      </c>
      <c r="G70" s="5" t="s">
        <v>333</v>
      </c>
      <c r="H70" s="5" t="n">
        <v>3</v>
      </c>
      <c r="I70" s="5" t="s">
        <v>37</v>
      </c>
      <c r="J70" s="5" t="s">
        <v>334</v>
      </c>
      <c r="K70" s="5" t="s">
        <v>335</v>
      </c>
      <c r="L70" s="5" t="s">
        <v>336</v>
      </c>
      <c r="M70" s="5" t="s">
        <v>41</v>
      </c>
      <c r="N70" s="5" t="s">
        <v>42</v>
      </c>
      <c r="O70" s="5"/>
    </row>
    <row r="71" customFormat="false" ht="34.5" hidden="false" customHeight="true" outlineLevel="0" collapsed="false">
      <c r="A71" s="5" t="s">
        <v>320</v>
      </c>
      <c r="B71" s="5" t="s">
        <v>167</v>
      </c>
      <c r="C71" s="5" t="s">
        <v>321</v>
      </c>
      <c r="D71" s="5" t="s">
        <v>322</v>
      </c>
      <c r="E71" s="5" t="s">
        <v>54</v>
      </c>
      <c r="F71" s="5" t="s">
        <v>337</v>
      </c>
      <c r="G71" s="5" t="s">
        <v>338</v>
      </c>
      <c r="H71" s="5" t="n">
        <v>3</v>
      </c>
      <c r="I71" s="5" t="s">
        <v>37</v>
      </c>
      <c r="J71" s="5" t="s">
        <v>339</v>
      </c>
      <c r="K71" s="5" t="s">
        <v>340</v>
      </c>
      <c r="L71" s="5" t="s">
        <v>341</v>
      </c>
      <c r="M71" s="5" t="s">
        <v>107</v>
      </c>
      <c r="N71" s="5" t="s">
        <v>42</v>
      </c>
      <c r="O71" s="5"/>
    </row>
    <row r="72" customFormat="false" ht="57" hidden="false" customHeight="true" outlineLevel="0" collapsed="false">
      <c r="A72" s="5" t="s">
        <v>342</v>
      </c>
      <c r="B72" s="5" t="s">
        <v>167</v>
      </c>
      <c r="C72" s="5" t="s">
        <v>32</v>
      </c>
      <c r="D72" s="5" t="s">
        <v>343</v>
      </c>
      <c r="E72" s="5" t="s">
        <v>174</v>
      </c>
      <c r="F72" s="5" t="s">
        <v>344</v>
      </c>
      <c r="G72" s="5" t="s">
        <v>176</v>
      </c>
      <c r="H72" s="5" t="n">
        <v>5</v>
      </c>
      <c r="I72" s="5" t="s">
        <v>46</v>
      </c>
      <c r="J72" s="5" t="s">
        <v>345</v>
      </c>
      <c r="K72" s="5" t="s">
        <v>346</v>
      </c>
      <c r="L72" s="5" t="s">
        <v>347</v>
      </c>
      <c r="M72" s="5" t="s">
        <v>41</v>
      </c>
      <c r="N72" s="5" t="s">
        <v>42</v>
      </c>
      <c r="O72" s="5"/>
    </row>
    <row r="73" customFormat="false" ht="45.75" hidden="false" customHeight="true" outlineLevel="0" collapsed="false">
      <c r="A73" s="5" t="s">
        <v>342</v>
      </c>
      <c r="B73" s="5" t="s">
        <v>167</v>
      </c>
      <c r="C73" s="5" t="s">
        <v>32</v>
      </c>
      <c r="D73" s="5" t="s">
        <v>343</v>
      </c>
      <c r="E73" s="5" t="s">
        <v>259</v>
      </c>
      <c r="F73" s="5" t="s">
        <v>348</v>
      </c>
      <c r="G73" s="5" t="s">
        <v>349</v>
      </c>
      <c r="H73" s="5" t="n">
        <v>4</v>
      </c>
      <c r="I73" s="5" t="s">
        <v>46</v>
      </c>
      <c r="J73" s="5" t="s">
        <v>350</v>
      </c>
      <c r="K73" s="5" t="s">
        <v>351</v>
      </c>
      <c r="L73" s="5" t="s">
        <v>352</v>
      </c>
      <c r="M73" s="5" t="s">
        <v>53</v>
      </c>
      <c r="N73" s="5" t="s">
        <v>42</v>
      </c>
      <c r="O73" s="5"/>
    </row>
    <row r="74" customFormat="false" ht="34.5" hidden="false" customHeight="true" outlineLevel="0" collapsed="false">
      <c r="A74" s="5" t="s">
        <v>342</v>
      </c>
      <c r="B74" s="5" t="s">
        <v>167</v>
      </c>
      <c r="C74" s="5" t="s">
        <v>32</v>
      </c>
      <c r="D74" s="5" t="s">
        <v>343</v>
      </c>
      <c r="E74" s="5" t="s">
        <v>54</v>
      </c>
      <c r="F74" s="5" t="s">
        <v>353</v>
      </c>
      <c r="G74" s="5" t="s">
        <v>354</v>
      </c>
      <c r="H74" s="5" t="n">
        <v>4</v>
      </c>
      <c r="I74" s="5" t="s">
        <v>37</v>
      </c>
      <c r="J74" s="5" t="s">
        <v>355</v>
      </c>
      <c r="K74" s="5" t="s">
        <v>356</v>
      </c>
      <c r="L74" s="5" t="s">
        <v>357</v>
      </c>
      <c r="M74" s="5" t="s">
        <v>41</v>
      </c>
      <c r="N74" s="5" t="s">
        <v>42</v>
      </c>
      <c r="O74" s="5"/>
    </row>
    <row r="75" customFormat="false" ht="45.75" hidden="false" customHeight="true" outlineLevel="0" collapsed="false">
      <c r="A75" s="5" t="s">
        <v>342</v>
      </c>
      <c r="B75" s="5" t="s">
        <v>167</v>
      </c>
      <c r="C75" s="5" t="s">
        <v>32</v>
      </c>
      <c r="D75" s="5" t="s">
        <v>343</v>
      </c>
      <c r="E75" s="5" t="s">
        <v>132</v>
      </c>
      <c r="F75" s="5" t="s">
        <v>188</v>
      </c>
      <c r="G75" s="5" t="s">
        <v>358</v>
      </c>
      <c r="H75" s="5" t="n">
        <v>4</v>
      </c>
      <c r="I75" s="5" t="s">
        <v>37</v>
      </c>
      <c r="J75" s="5" t="s">
        <v>359</v>
      </c>
      <c r="K75" s="5" t="s">
        <v>360</v>
      </c>
      <c r="L75" s="5" t="s">
        <v>361</v>
      </c>
      <c r="M75" s="5" t="s">
        <v>41</v>
      </c>
      <c r="N75" s="5" t="s">
        <v>42</v>
      </c>
      <c r="O75" s="5"/>
    </row>
    <row r="76" customFormat="false" ht="45.75" hidden="false" customHeight="true" outlineLevel="0" collapsed="false">
      <c r="A76" s="5" t="s">
        <v>342</v>
      </c>
      <c r="B76" s="5" t="s">
        <v>167</v>
      </c>
      <c r="C76" s="5" t="s">
        <v>32</v>
      </c>
      <c r="D76" s="5" t="s">
        <v>343</v>
      </c>
      <c r="E76" s="5" t="s">
        <v>144</v>
      </c>
      <c r="F76" s="5" t="s">
        <v>180</v>
      </c>
      <c r="G76" s="5" t="s">
        <v>202</v>
      </c>
      <c r="H76" s="5" t="n">
        <v>5</v>
      </c>
      <c r="I76" s="5" t="s">
        <v>67</v>
      </c>
      <c r="J76" s="5"/>
      <c r="K76" s="5" t="s">
        <v>362</v>
      </c>
      <c r="L76" s="5" t="s">
        <v>363</v>
      </c>
      <c r="M76" s="5" t="s">
        <v>53</v>
      </c>
      <c r="N76" s="5" t="s">
        <v>42</v>
      </c>
      <c r="O76" s="5"/>
    </row>
    <row r="77" customFormat="false" ht="15" hidden="false" customHeight="true" outlineLevel="0" collapsed="false">
      <c r="A77" s="1" t="s">
        <v>364</v>
      </c>
      <c r="B77" s="1" t="s">
        <v>365</v>
      </c>
      <c r="C77" s="1" t="s">
        <v>168</v>
      </c>
      <c r="D77" s="1" t="s">
        <v>366</v>
      </c>
      <c r="E77" s="1" t="s">
        <v>34</v>
      </c>
      <c r="F77" s="1" t="s">
        <v>35</v>
      </c>
      <c r="G77" s="1" t="s">
        <v>56</v>
      </c>
      <c r="H77" s="1" t="n">
        <v>3</v>
      </c>
      <c r="I77" s="1" t="s">
        <v>67</v>
      </c>
      <c r="K77" s="1" t="s">
        <v>367</v>
      </c>
      <c r="L77" s="1" t="s">
        <v>368</v>
      </c>
      <c r="M77" s="1" t="s">
        <v>53</v>
      </c>
      <c r="N77" s="1" t="s">
        <v>42</v>
      </c>
    </row>
    <row r="78" customFormat="false" ht="15" hidden="false" customHeight="true" outlineLevel="0" collapsed="false">
      <c r="A78" s="1" t="s">
        <v>364</v>
      </c>
      <c r="B78" s="1" t="s">
        <v>365</v>
      </c>
      <c r="C78" s="1" t="s">
        <v>168</v>
      </c>
      <c r="D78" s="1" t="s">
        <v>366</v>
      </c>
      <c r="E78" s="1" t="s">
        <v>132</v>
      </c>
      <c r="F78" s="1" t="s">
        <v>369</v>
      </c>
      <c r="G78" s="1" t="s">
        <v>45</v>
      </c>
      <c r="H78" s="1" t="n">
        <v>2</v>
      </c>
      <c r="I78" s="1" t="s">
        <v>37</v>
      </c>
      <c r="K78" s="1" t="s">
        <v>370</v>
      </c>
      <c r="L78" s="1" t="s">
        <v>371</v>
      </c>
      <c r="M78" s="1" t="s">
        <v>53</v>
      </c>
      <c r="N78" s="1" t="s">
        <v>42</v>
      </c>
    </row>
    <row r="79" customFormat="false" ht="15" hidden="false" customHeight="true" outlineLevel="0" collapsed="false">
      <c r="A79" s="1" t="s">
        <v>364</v>
      </c>
      <c r="B79" s="1" t="s">
        <v>365</v>
      </c>
      <c r="C79" s="1" t="s">
        <v>168</v>
      </c>
      <c r="D79" s="1" t="s">
        <v>366</v>
      </c>
      <c r="E79" s="1" t="s">
        <v>259</v>
      </c>
      <c r="F79" s="1" t="s">
        <v>372</v>
      </c>
      <c r="G79" s="1" t="s">
        <v>45</v>
      </c>
      <c r="H79" s="1" t="n">
        <v>2</v>
      </c>
      <c r="I79" s="1" t="s">
        <v>37</v>
      </c>
      <c r="K79" s="1" t="s">
        <v>373</v>
      </c>
      <c r="L79" s="1" t="s">
        <v>374</v>
      </c>
      <c r="M79" s="1" t="s">
        <v>41</v>
      </c>
      <c r="N79" s="1" t="s">
        <v>42</v>
      </c>
    </row>
    <row r="80" customFormat="false" ht="15" hidden="false" customHeight="true" outlineLevel="0" collapsed="false">
      <c r="A80" s="1" t="s">
        <v>364</v>
      </c>
      <c r="B80" s="1" t="s">
        <v>365</v>
      </c>
      <c r="C80" s="1" t="s">
        <v>168</v>
      </c>
      <c r="D80" s="1" t="s">
        <v>366</v>
      </c>
      <c r="E80" s="1" t="s">
        <v>54</v>
      </c>
      <c r="F80" s="1" t="s">
        <v>375</v>
      </c>
      <c r="G80" s="1" t="s">
        <v>376</v>
      </c>
      <c r="H80" s="1" t="n">
        <v>3</v>
      </c>
      <c r="I80" s="1" t="s">
        <v>62</v>
      </c>
      <c r="K80" s="1" t="s">
        <v>377</v>
      </c>
      <c r="L80" s="1" t="s">
        <v>378</v>
      </c>
      <c r="M80" s="1" t="s">
        <v>41</v>
      </c>
      <c r="N80" s="1" t="s">
        <v>42</v>
      </c>
    </row>
    <row r="81" customFormat="false" ht="15" hidden="false" customHeight="true" outlineLevel="0" collapsed="false">
      <c r="A81" s="1" t="s">
        <v>379</v>
      </c>
      <c r="B81" s="1" t="s">
        <v>365</v>
      </c>
      <c r="C81" s="1" t="s">
        <v>168</v>
      </c>
      <c r="D81" s="1" t="s">
        <v>380</v>
      </c>
      <c r="E81" s="1" t="s">
        <v>70</v>
      </c>
      <c r="F81" s="1" t="s">
        <v>381</v>
      </c>
      <c r="G81" s="1" t="s">
        <v>45</v>
      </c>
      <c r="H81" s="1" t="n">
        <v>4</v>
      </c>
      <c r="I81" s="1" t="s">
        <v>46</v>
      </c>
      <c r="K81" s="1" t="s">
        <v>382</v>
      </c>
      <c r="L81" s="1" t="s">
        <v>383</v>
      </c>
      <c r="M81" s="1" t="s">
        <v>53</v>
      </c>
      <c r="N81" s="1" t="s">
        <v>42</v>
      </c>
    </row>
    <row r="82" customFormat="false" ht="15" hidden="false" customHeight="true" outlineLevel="0" collapsed="false">
      <c r="A82" s="1" t="s">
        <v>379</v>
      </c>
      <c r="B82" s="1" t="s">
        <v>365</v>
      </c>
      <c r="C82" s="1" t="s">
        <v>168</v>
      </c>
      <c r="D82" s="1" t="s">
        <v>380</v>
      </c>
      <c r="E82" s="1" t="s">
        <v>70</v>
      </c>
      <c r="F82" s="1" t="s">
        <v>384</v>
      </c>
      <c r="G82" s="1" t="s">
        <v>45</v>
      </c>
      <c r="H82" s="1" t="n">
        <v>4</v>
      </c>
      <c r="I82" s="1" t="s">
        <v>73</v>
      </c>
      <c r="K82" s="1" t="s">
        <v>385</v>
      </c>
      <c r="L82" s="1" t="s">
        <v>386</v>
      </c>
      <c r="M82" s="1" t="s">
        <v>53</v>
      </c>
      <c r="N82" s="1" t="s">
        <v>42</v>
      </c>
    </row>
    <row r="83" customFormat="false" ht="15" hidden="false" customHeight="true" outlineLevel="0" collapsed="false">
      <c r="A83" s="1" t="s">
        <v>387</v>
      </c>
      <c r="B83" s="1" t="s">
        <v>365</v>
      </c>
      <c r="C83" s="1" t="s">
        <v>168</v>
      </c>
      <c r="D83" s="1" t="s">
        <v>388</v>
      </c>
      <c r="E83" s="1" t="s">
        <v>54</v>
      </c>
      <c r="F83" s="1" t="s">
        <v>389</v>
      </c>
      <c r="G83" s="1" t="s">
        <v>376</v>
      </c>
      <c r="H83" s="1" t="n">
        <v>2</v>
      </c>
      <c r="I83" s="1" t="s">
        <v>37</v>
      </c>
      <c r="K83" s="1" t="s">
        <v>390</v>
      </c>
      <c r="L83" s="1" t="s">
        <v>391</v>
      </c>
      <c r="M83" s="1" t="s">
        <v>53</v>
      </c>
      <c r="N83" s="1" t="s">
        <v>42</v>
      </c>
    </row>
    <row r="84" customFormat="false" ht="15" hidden="false" customHeight="true" outlineLevel="0" collapsed="false">
      <c r="A84" s="1" t="s">
        <v>392</v>
      </c>
      <c r="B84" s="1" t="s">
        <v>365</v>
      </c>
      <c r="C84" s="1" t="s">
        <v>168</v>
      </c>
      <c r="D84" s="1" t="s">
        <v>393</v>
      </c>
      <c r="E84" s="1" t="s">
        <v>132</v>
      </c>
      <c r="F84" s="1" t="s">
        <v>394</v>
      </c>
      <c r="G84" s="1" t="s">
        <v>45</v>
      </c>
      <c r="H84" s="1" t="n">
        <v>3</v>
      </c>
      <c r="I84" s="1" t="s">
        <v>37</v>
      </c>
      <c r="K84" s="1" t="s">
        <v>395</v>
      </c>
      <c r="L84" s="1" t="s">
        <v>396</v>
      </c>
      <c r="M84" s="1" t="s">
        <v>53</v>
      </c>
      <c r="N84" s="1" t="s">
        <v>42</v>
      </c>
    </row>
    <row r="85" customFormat="false" ht="15" hidden="false" customHeight="true" outlineLevel="0" collapsed="false">
      <c r="A85" s="1" t="s">
        <v>81</v>
      </c>
      <c r="B85" s="1" t="s">
        <v>365</v>
      </c>
      <c r="C85" s="1" t="s">
        <v>168</v>
      </c>
      <c r="D85" s="1" t="s">
        <v>397</v>
      </c>
      <c r="E85" s="1" t="s">
        <v>54</v>
      </c>
      <c r="F85" s="1" t="s">
        <v>55</v>
      </c>
      <c r="G85" s="1" t="s">
        <v>56</v>
      </c>
      <c r="H85" s="1" t="n">
        <v>4</v>
      </c>
      <c r="I85" s="1" t="s">
        <v>46</v>
      </c>
      <c r="K85" s="1" t="s">
        <v>398</v>
      </c>
      <c r="L85" s="1" t="s">
        <v>399</v>
      </c>
      <c r="M85" s="1" t="s">
        <v>41</v>
      </c>
      <c r="N85" s="1" t="s">
        <v>42</v>
      </c>
    </row>
    <row r="86" customFormat="false" ht="15" hidden="false" customHeight="true" outlineLevel="0" collapsed="false">
      <c r="A86" s="1" t="s">
        <v>81</v>
      </c>
      <c r="B86" s="1" t="s">
        <v>365</v>
      </c>
      <c r="C86" s="1" t="s">
        <v>168</v>
      </c>
      <c r="D86" s="1" t="s">
        <v>397</v>
      </c>
      <c r="E86" s="1" t="s">
        <v>54</v>
      </c>
      <c r="F86" s="1" t="s">
        <v>400</v>
      </c>
      <c r="G86" s="1" t="s">
        <v>56</v>
      </c>
      <c r="H86" s="1" t="n">
        <v>4</v>
      </c>
      <c r="I86" s="1" t="s">
        <v>37</v>
      </c>
      <c r="K86" s="1" t="s">
        <v>401</v>
      </c>
      <c r="L86" s="1" t="s">
        <v>402</v>
      </c>
      <c r="M86" s="1" t="s">
        <v>41</v>
      </c>
      <c r="N86" s="1" t="s">
        <v>42</v>
      </c>
    </row>
    <row r="87" customFormat="false" ht="15" hidden="false" customHeight="true" outlineLevel="0" collapsed="false">
      <c r="A87" s="1" t="s">
        <v>81</v>
      </c>
      <c r="B87" s="1" t="s">
        <v>365</v>
      </c>
      <c r="C87" s="1" t="s">
        <v>168</v>
      </c>
      <c r="D87" s="1" t="s">
        <v>397</v>
      </c>
      <c r="E87" s="1" t="s">
        <v>132</v>
      </c>
      <c r="F87" s="1" t="s">
        <v>188</v>
      </c>
      <c r="G87" s="1" t="s">
        <v>45</v>
      </c>
      <c r="H87" s="1" t="n">
        <v>3</v>
      </c>
      <c r="I87" s="1" t="s">
        <v>37</v>
      </c>
      <c r="K87" s="1" t="s">
        <v>403</v>
      </c>
      <c r="L87" s="1" t="s">
        <v>404</v>
      </c>
      <c r="M87" s="1" t="s">
        <v>41</v>
      </c>
      <c r="N87" s="1" t="s">
        <v>42</v>
      </c>
    </row>
    <row r="88" customFormat="false" ht="15" hidden="false" customHeight="true" outlineLevel="0" collapsed="false">
      <c r="A88" s="1" t="s">
        <v>405</v>
      </c>
      <c r="B88" s="1" t="s">
        <v>365</v>
      </c>
      <c r="C88" s="1" t="s">
        <v>168</v>
      </c>
      <c r="D88" s="1" t="s">
        <v>406</v>
      </c>
      <c r="E88" s="1" t="s">
        <v>54</v>
      </c>
      <c r="F88" s="1" t="s">
        <v>407</v>
      </c>
      <c r="G88" s="1" t="s">
        <v>56</v>
      </c>
      <c r="H88" s="1" t="n">
        <v>5</v>
      </c>
      <c r="I88" s="1" t="s">
        <v>73</v>
      </c>
      <c r="K88" s="1" t="s">
        <v>408</v>
      </c>
      <c r="L88" s="1" t="s">
        <v>409</v>
      </c>
      <c r="M88" s="1" t="s">
        <v>41</v>
      </c>
      <c r="N88" s="1" t="s">
        <v>42</v>
      </c>
    </row>
    <row r="89" customFormat="false" ht="15" hidden="false" customHeight="true" outlineLevel="0" collapsed="false">
      <c r="A89" s="1" t="s">
        <v>405</v>
      </c>
      <c r="B89" s="1" t="s">
        <v>365</v>
      </c>
      <c r="C89" s="1" t="s">
        <v>168</v>
      </c>
      <c r="D89" s="1" t="s">
        <v>406</v>
      </c>
      <c r="E89" s="1" t="s">
        <v>54</v>
      </c>
      <c r="F89" s="1" t="s">
        <v>400</v>
      </c>
      <c r="G89" s="1" t="s">
        <v>56</v>
      </c>
      <c r="H89" s="1" t="n">
        <v>4</v>
      </c>
      <c r="I89" s="1" t="s">
        <v>73</v>
      </c>
      <c r="K89" s="1" t="s">
        <v>410</v>
      </c>
      <c r="L89" s="1" t="s">
        <v>411</v>
      </c>
      <c r="M89" s="1" t="s">
        <v>41</v>
      </c>
      <c r="N89" s="1" t="s">
        <v>42</v>
      </c>
    </row>
    <row r="90" customFormat="false" ht="15" hidden="false" customHeight="true" outlineLevel="0" collapsed="false">
      <c r="A90" s="1" t="s">
        <v>405</v>
      </c>
      <c r="B90" s="1" t="s">
        <v>365</v>
      </c>
      <c r="C90" s="1" t="s">
        <v>168</v>
      </c>
      <c r="D90" s="1" t="s">
        <v>406</v>
      </c>
      <c r="E90" s="1" t="s">
        <v>132</v>
      </c>
      <c r="F90" s="1" t="s">
        <v>412</v>
      </c>
      <c r="G90" s="1" t="s">
        <v>45</v>
      </c>
      <c r="H90" s="1" t="n">
        <v>4</v>
      </c>
      <c r="I90" s="1" t="s">
        <v>46</v>
      </c>
      <c r="K90" s="1" t="s">
        <v>413</v>
      </c>
      <c r="L90" s="1" t="s">
        <v>414</v>
      </c>
      <c r="M90" s="1" t="s">
        <v>41</v>
      </c>
      <c r="N90" s="1" t="s">
        <v>42</v>
      </c>
    </row>
    <row r="91" customFormat="false" ht="15" hidden="false" customHeight="true" outlineLevel="0" collapsed="false">
      <c r="A91" s="1" t="s">
        <v>405</v>
      </c>
      <c r="B91" s="1" t="s">
        <v>365</v>
      </c>
      <c r="C91" s="1" t="s">
        <v>168</v>
      </c>
      <c r="D91" s="1" t="s">
        <v>406</v>
      </c>
      <c r="E91" s="1" t="s">
        <v>34</v>
      </c>
      <c r="F91" s="1" t="s">
        <v>35</v>
      </c>
      <c r="G91" s="1" t="s">
        <v>56</v>
      </c>
      <c r="H91" s="1" t="n">
        <v>3</v>
      </c>
      <c r="I91" s="1" t="s">
        <v>37</v>
      </c>
      <c r="K91" s="1" t="s">
        <v>415</v>
      </c>
      <c r="L91" s="1" t="s">
        <v>416</v>
      </c>
      <c r="M91" s="1" t="s">
        <v>41</v>
      </c>
      <c r="N91" s="1" t="s">
        <v>42</v>
      </c>
    </row>
    <row r="92" customFormat="false" ht="15" hidden="false" customHeight="true" outlineLevel="0" collapsed="false">
      <c r="A92" s="1" t="s">
        <v>417</v>
      </c>
      <c r="B92" s="1" t="s">
        <v>365</v>
      </c>
      <c r="C92" s="1" t="s">
        <v>168</v>
      </c>
      <c r="D92" s="1" t="s">
        <v>418</v>
      </c>
      <c r="E92" s="1" t="s">
        <v>419</v>
      </c>
      <c r="F92" s="1" t="s">
        <v>420</v>
      </c>
      <c r="G92" s="1" t="s">
        <v>45</v>
      </c>
      <c r="H92" s="1" t="n">
        <v>4</v>
      </c>
      <c r="I92" s="1" t="s">
        <v>73</v>
      </c>
      <c r="K92" s="1" t="s">
        <v>421</v>
      </c>
      <c r="L92" s="1" t="s">
        <v>422</v>
      </c>
      <c r="M92" s="1" t="s">
        <v>53</v>
      </c>
      <c r="N92" s="1" t="s">
        <v>42</v>
      </c>
    </row>
    <row r="93" customFormat="false" ht="15" hidden="false" customHeight="true" outlineLevel="0" collapsed="false">
      <c r="A93" s="1" t="s">
        <v>417</v>
      </c>
      <c r="B93" s="1" t="s">
        <v>365</v>
      </c>
      <c r="C93" s="1" t="s">
        <v>168</v>
      </c>
      <c r="D93" s="1" t="s">
        <v>418</v>
      </c>
      <c r="E93" s="1" t="s">
        <v>132</v>
      </c>
      <c r="F93" s="1" t="s">
        <v>369</v>
      </c>
      <c r="G93" s="1" t="s">
        <v>45</v>
      </c>
      <c r="H93" s="1" t="n">
        <v>4</v>
      </c>
      <c r="I93" s="1" t="s">
        <v>73</v>
      </c>
      <c r="K93" s="1" t="s">
        <v>423</v>
      </c>
      <c r="L93" s="1" t="s">
        <v>424</v>
      </c>
      <c r="M93" s="1" t="s">
        <v>53</v>
      </c>
      <c r="N93" s="1" t="s">
        <v>42</v>
      </c>
    </row>
    <row r="94" customFormat="false" ht="15" hidden="false" customHeight="true" outlineLevel="0" collapsed="false">
      <c r="A94" s="1" t="s">
        <v>425</v>
      </c>
      <c r="B94" s="1" t="s">
        <v>365</v>
      </c>
      <c r="C94" s="1" t="s">
        <v>168</v>
      </c>
      <c r="D94" s="1" t="s">
        <v>426</v>
      </c>
      <c r="E94" s="1" t="s">
        <v>54</v>
      </c>
      <c r="F94" s="1" t="s">
        <v>407</v>
      </c>
      <c r="G94" s="1" t="s">
        <v>56</v>
      </c>
      <c r="H94" s="1" t="n">
        <v>5</v>
      </c>
      <c r="I94" s="1" t="s">
        <v>62</v>
      </c>
      <c r="K94" s="1" t="s">
        <v>427</v>
      </c>
      <c r="L94" s="1" t="s">
        <v>428</v>
      </c>
      <c r="M94" s="1" t="s">
        <v>41</v>
      </c>
      <c r="N94" s="1" t="s">
        <v>42</v>
      </c>
    </row>
    <row r="95" customFormat="false" ht="15" hidden="false" customHeight="true" outlineLevel="0" collapsed="false">
      <c r="A95" s="1" t="s">
        <v>425</v>
      </c>
      <c r="B95" s="1" t="s">
        <v>365</v>
      </c>
      <c r="C95" s="1" t="s">
        <v>168</v>
      </c>
      <c r="D95" s="1" t="s">
        <v>426</v>
      </c>
      <c r="E95" s="1" t="s">
        <v>54</v>
      </c>
      <c r="F95" s="1" t="s">
        <v>400</v>
      </c>
      <c r="G95" s="1" t="s">
        <v>56</v>
      </c>
      <c r="H95" s="1" t="n">
        <v>5</v>
      </c>
      <c r="I95" s="1" t="s">
        <v>62</v>
      </c>
      <c r="K95" s="1" t="s">
        <v>429</v>
      </c>
      <c r="L95" s="1" t="s">
        <v>430</v>
      </c>
      <c r="M95" s="1" t="s">
        <v>431</v>
      </c>
      <c r="N95" s="1" t="s">
        <v>42</v>
      </c>
    </row>
    <row r="96" customFormat="false" ht="15" hidden="false" customHeight="true" outlineLevel="0" collapsed="false">
      <c r="A96" s="1" t="s">
        <v>425</v>
      </c>
      <c r="B96" s="1" t="s">
        <v>365</v>
      </c>
      <c r="C96" s="1" t="s">
        <v>168</v>
      </c>
      <c r="D96" s="1" t="s">
        <v>426</v>
      </c>
      <c r="E96" s="1" t="s">
        <v>419</v>
      </c>
      <c r="F96" s="1" t="s">
        <v>432</v>
      </c>
      <c r="G96" s="1" t="s">
        <v>45</v>
      </c>
      <c r="H96" s="1" t="n">
        <v>5</v>
      </c>
      <c r="I96" s="1" t="s">
        <v>62</v>
      </c>
      <c r="K96" s="1" t="s">
        <v>433</v>
      </c>
      <c r="L96" s="1" t="s">
        <v>434</v>
      </c>
      <c r="M96" s="1" t="s">
        <v>53</v>
      </c>
      <c r="N96" s="1" t="s">
        <v>42</v>
      </c>
    </row>
    <row r="97" customFormat="false" ht="15" hidden="false" customHeight="true" outlineLevel="0" collapsed="false">
      <c r="A97" s="1" t="s">
        <v>425</v>
      </c>
      <c r="B97" s="1" t="s">
        <v>365</v>
      </c>
      <c r="C97" s="1" t="s">
        <v>168</v>
      </c>
      <c r="D97" s="1" t="s">
        <v>426</v>
      </c>
      <c r="E97" s="1" t="s">
        <v>132</v>
      </c>
      <c r="F97" s="1" t="s">
        <v>188</v>
      </c>
      <c r="G97" s="1" t="s">
        <v>45</v>
      </c>
      <c r="H97" s="1" t="n">
        <v>4</v>
      </c>
      <c r="I97" s="1" t="s">
        <v>46</v>
      </c>
      <c r="K97" s="1" t="s">
        <v>435</v>
      </c>
      <c r="L97" s="1" t="s">
        <v>436</v>
      </c>
      <c r="M97" s="1" t="s">
        <v>53</v>
      </c>
      <c r="N97" s="1" t="s">
        <v>42</v>
      </c>
    </row>
    <row r="98" customFormat="false" ht="15" hidden="false" customHeight="true" outlineLevel="0" collapsed="false">
      <c r="A98" s="1" t="s">
        <v>425</v>
      </c>
      <c r="B98" s="1" t="s">
        <v>365</v>
      </c>
      <c r="C98" s="1" t="s">
        <v>168</v>
      </c>
      <c r="D98" s="1" t="s">
        <v>426</v>
      </c>
      <c r="E98" s="1" t="s">
        <v>34</v>
      </c>
      <c r="F98" s="1" t="s">
        <v>35</v>
      </c>
      <c r="G98" s="1" t="s">
        <v>83</v>
      </c>
      <c r="H98" s="1" t="n">
        <v>2</v>
      </c>
      <c r="I98" s="1" t="s">
        <v>73</v>
      </c>
      <c r="K98" s="1" t="s">
        <v>437</v>
      </c>
      <c r="L98" s="1" t="s">
        <v>438</v>
      </c>
      <c r="M98" s="1" t="s">
        <v>107</v>
      </c>
      <c r="N98" s="1" t="s">
        <v>42</v>
      </c>
    </row>
    <row r="99" customFormat="false" ht="15" hidden="false" customHeight="true" outlineLevel="0" collapsed="false">
      <c r="A99" s="1" t="s">
        <v>425</v>
      </c>
      <c r="B99" s="1" t="s">
        <v>365</v>
      </c>
      <c r="C99" s="1" t="s">
        <v>168</v>
      </c>
      <c r="D99" s="1" t="s">
        <v>426</v>
      </c>
      <c r="E99" s="1" t="s">
        <v>174</v>
      </c>
      <c r="F99" s="1" t="s">
        <v>439</v>
      </c>
      <c r="G99" s="1" t="s">
        <v>440</v>
      </c>
      <c r="H99" s="1" t="n">
        <v>4</v>
      </c>
      <c r="I99" s="1" t="s">
        <v>73</v>
      </c>
      <c r="K99" s="1" t="s">
        <v>441</v>
      </c>
      <c r="L99" s="1" t="s">
        <v>442</v>
      </c>
      <c r="M99" s="1" t="s">
        <v>41</v>
      </c>
      <c r="N99" s="1" t="s">
        <v>42</v>
      </c>
    </row>
    <row r="100" customFormat="false" ht="32.25" hidden="false" customHeight="true" outlineLevel="0" collapsed="false">
      <c r="A100" s="3" t="s">
        <v>443</v>
      </c>
      <c r="B100" s="3" t="s">
        <v>444</v>
      </c>
      <c r="C100" s="3" t="s">
        <v>32</v>
      </c>
      <c r="D100" s="3" t="s">
        <v>445</v>
      </c>
      <c r="E100" s="3" t="s">
        <v>132</v>
      </c>
      <c r="F100" s="3" t="s">
        <v>188</v>
      </c>
      <c r="G100" s="3" t="s">
        <v>446</v>
      </c>
      <c r="H100" s="3" t="n">
        <v>3</v>
      </c>
      <c r="I100" s="3" t="s">
        <v>37</v>
      </c>
      <c r="J100" s="3" t="s">
        <v>447</v>
      </c>
      <c r="K100" s="3" t="s">
        <v>448</v>
      </c>
      <c r="L100" s="3" t="s">
        <v>449</v>
      </c>
      <c r="M100" s="3" t="s">
        <v>53</v>
      </c>
      <c r="N100" s="3" t="s">
        <v>450</v>
      </c>
      <c r="O100" s="3"/>
    </row>
    <row r="101" customFormat="false" ht="32.25" hidden="false" customHeight="true" outlineLevel="0" collapsed="false">
      <c r="A101" s="3" t="s">
        <v>443</v>
      </c>
      <c r="B101" s="3" t="s">
        <v>444</v>
      </c>
      <c r="C101" s="3" t="s">
        <v>32</v>
      </c>
      <c r="D101" s="3" t="s">
        <v>445</v>
      </c>
      <c r="E101" s="3" t="s">
        <v>54</v>
      </c>
      <c r="F101" s="3" t="s">
        <v>451</v>
      </c>
      <c r="G101" s="3" t="s">
        <v>56</v>
      </c>
      <c r="H101" s="3" t="n">
        <v>4</v>
      </c>
      <c r="I101" s="3" t="s">
        <v>46</v>
      </c>
      <c r="J101" s="3" t="s">
        <v>452</v>
      </c>
      <c r="K101" s="3" t="s">
        <v>453</v>
      </c>
      <c r="L101" s="3" t="s">
        <v>454</v>
      </c>
      <c r="M101" s="3" t="s">
        <v>53</v>
      </c>
      <c r="N101" s="3" t="s">
        <v>42</v>
      </c>
      <c r="O101" s="3" t="s">
        <v>455</v>
      </c>
    </row>
    <row r="102" customFormat="false" ht="32.25" hidden="false" customHeight="true" outlineLevel="0" collapsed="false">
      <c r="A102" s="3" t="s">
        <v>443</v>
      </c>
      <c r="B102" s="3" t="s">
        <v>444</v>
      </c>
      <c r="C102" s="3" t="s">
        <v>32</v>
      </c>
      <c r="D102" s="3" t="s">
        <v>445</v>
      </c>
      <c r="E102" s="3" t="s">
        <v>259</v>
      </c>
      <c r="F102" s="3" t="s">
        <v>456</v>
      </c>
      <c r="G102" s="3" t="s">
        <v>45</v>
      </c>
      <c r="H102" s="3" t="n">
        <v>4</v>
      </c>
      <c r="I102" s="3" t="s">
        <v>67</v>
      </c>
      <c r="J102" s="3" t="s">
        <v>457</v>
      </c>
      <c r="K102" s="3" t="s">
        <v>458</v>
      </c>
      <c r="L102" s="3" t="s">
        <v>459</v>
      </c>
      <c r="M102" s="3" t="s">
        <v>53</v>
      </c>
      <c r="N102" s="3" t="s">
        <v>42</v>
      </c>
      <c r="O102" s="3"/>
    </row>
    <row r="103" customFormat="false" ht="32.25" hidden="false" customHeight="true" outlineLevel="0" collapsed="false">
      <c r="A103" s="3" t="s">
        <v>460</v>
      </c>
      <c r="B103" s="3" t="s">
        <v>444</v>
      </c>
      <c r="C103" s="3" t="s">
        <v>32</v>
      </c>
      <c r="D103" s="3" t="s">
        <v>461</v>
      </c>
      <c r="E103" s="3" t="s">
        <v>132</v>
      </c>
      <c r="F103" s="3" t="s">
        <v>462</v>
      </c>
      <c r="G103" s="3" t="s">
        <v>56</v>
      </c>
      <c r="H103" s="3" t="n">
        <v>4</v>
      </c>
      <c r="I103" s="3" t="s">
        <v>37</v>
      </c>
      <c r="J103" s="3" t="s">
        <v>463</v>
      </c>
      <c r="K103" s="3" t="s">
        <v>464</v>
      </c>
      <c r="L103" s="3" t="s">
        <v>465</v>
      </c>
      <c r="M103" s="3" t="s">
        <v>53</v>
      </c>
      <c r="N103" s="3" t="s">
        <v>450</v>
      </c>
      <c r="O103" s="3"/>
    </row>
    <row r="104" customFormat="false" ht="32.25" hidden="false" customHeight="true" outlineLevel="0" collapsed="false">
      <c r="A104" s="3" t="s">
        <v>466</v>
      </c>
      <c r="B104" s="3" t="s">
        <v>444</v>
      </c>
      <c r="C104" s="3" t="s">
        <v>32</v>
      </c>
      <c r="D104" s="3" t="s">
        <v>467</v>
      </c>
      <c r="E104" s="3" t="s">
        <v>54</v>
      </c>
      <c r="F104" s="3" t="s">
        <v>468</v>
      </c>
      <c r="G104" s="3" t="s">
        <v>469</v>
      </c>
      <c r="H104" s="3" t="n">
        <v>5</v>
      </c>
      <c r="I104" s="3" t="s">
        <v>46</v>
      </c>
      <c r="J104" s="3" t="s">
        <v>470</v>
      </c>
      <c r="K104" s="3" t="s">
        <v>471</v>
      </c>
      <c r="L104" s="3" t="s">
        <v>472</v>
      </c>
      <c r="M104" s="3" t="s">
        <v>53</v>
      </c>
      <c r="N104" s="3" t="s">
        <v>42</v>
      </c>
      <c r="O104" s="3"/>
    </row>
    <row r="105" customFormat="false" ht="32.25" hidden="false" customHeight="true" outlineLevel="0" collapsed="false">
      <c r="A105" s="3" t="s">
        <v>405</v>
      </c>
      <c r="B105" s="3" t="s">
        <v>444</v>
      </c>
      <c r="C105" s="3" t="s">
        <v>32</v>
      </c>
      <c r="D105" s="3" t="s">
        <v>473</v>
      </c>
      <c r="E105" s="3" t="s">
        <v>132</v>
      </c>
      <c r="F105" s="3" t="s">
        <v>188</v>
      </c>
      <c r="G105" s="3" t="s">
        <v>45</v>
      </c>
      <c r="H105" s="3" t="n">
        <v>4</v>
      </c>
      <c r="I105" s="3" t="s">
        <v>37</v>
      </c>
      <c r="J105" s="3" t="s">
        <v>474</v>
      </c>
      <c r="K105" s="3" t="s">
        <v>475</v>
      </c>
      <c r="L105" s="3" t="s">
        <v>476</v>
      </c>
      <c r="M105" s="3" t="s">
        <v>41</v>
      </c>
      <c r="N105" s="3" t="s">
        <v>42</v>
      </c>
      <c r="O105" s="3"/>
    </row>
    <row r="106" customFormat="false" ht="32.25" hidden="false" customHeight="true" outlineLevel="0" collapsed="false">
      <c r="A106" s="3" t="s">
        <v>417</v>
      </c>
      <c r="B106" s="3" t="s">
        <v>444</v>
      </c>
      <c r="C106" s="3" t="s">
        <v>32</v>
      </c>
      <c r="D106" s="3" t="s">
        <v>477</v>
      </c>
      <c r="E106" s="3" t="s">
        <v>54</v>
      </c>
      <c r="F106" s="3" t="s">
        <v>478</v>
      </c>
      <c r="G106" s="3" t="s">
        <v>469</v>
      </c>
      <c r="H106" s="3" t="n">
        <v>5</v>
      </c>
      <c r="I106" s="3" t="s">
        <v>73</v>
      </c>
      <c r="J106" s="3" t="s">
        <v>479</v>
      </c>
      <c r="K106" s="3" t="s">
        <v>480</v>
      </c>
      <c r="L106" s="3" t="s">
        <v>481</v>
      </c>
      <c r="M106" s="3" t="s">
        <v>53</v>
      </c>
      <c r="N106" s="3" t="s">
        <v>42</v>
      </c>
      <c r="O106" s="3"/>
    </row>
    <row r="107" customFormat="false" ht="32.25" hidden="false" customHeight="true" outlineLevel="0" collapsed="false">
      <c r="A107" s="3" t="s">
        <v>417</v>
      </c>
      <c r="B107" s="3" t="s">
        <v>444</v>
      </c>
      <c r="C107" s="3" t="s">
        <v>32</v>
      </c>
      <c r="D107" s="3" t="s">
        <v>477</v>
      </c>
      <c r="E107" s="3" t="s">
        <v>54</v>
      </c>
      <c r="F107" s="3" t="s">
        <v>337</v>
      </c>
      <c r="G107" s="3" t="s">
        <v>469</v>
      </c>
      <c r="H107" s="3" t="n">
        <v>5</v>
      </c>
      <c r="I107" s="3" t="s">
        <v>46</v>
      </c>
      <c r="J107" s="3" t="s">
        <v>482</v>
      </c>
      <c r="K107" s="3" t="s">
        <v>483</v>
      </c>
      <c r="L107" s="3" t="s">
        <v>484</v>
      </c>
      <c r="M107" s="3" t="s">
        <v>53</v>
      </c>
      <c r="N107" s="3" t="s">
        <v>42</v>
      </c>
      <c r="O107" s="3"/>
    </row>
    <row r="108" customFormat="false" ht="21.75" hidden="false" customHeight="true" outlineLevel="0" collapsed="false">
      <c r="A108" s="3" t="s">
        <v>417</v>
      </c>
      <c r="B108" s="3" t="s">
        <v>444</v>
      </c>
      <c r="C108" s="3" t="s">
        <v>32</v>
      </c>
      <c r="D108" s="3" t="s">
        <v>477</v>
      </c>
      <c r="E108" s="3" t="s">
        <v>54</v>
      </c>
      <c r="F108" s="3" t="s">
        <v>485</v>
      </c>
      <c r="G108" s="3" t="s">
        <v>56</v>
      </c>
      <c r="H108" s="3" t="n">
        <v>4</v>
      </c>
      <c r="I108" s="3" t="s">
        <v>46</v>
      </c>
      <c r="J108" s="3" t="s">
        <v>486</v>
      </c>
      <c r="K108" s="3" t="s">
        <v>487</v>
      </c>
      <c r="L108" s="3" t="s">
        <v>488</v>
      </c>
      <c r="M108" s="3" t="s">
        <v>53</v>
      </c>
      <c r="N108" s="3" t="s">
        <v>42</v>
      </c>
      <c r="O108" s="3"/>
    </row>
    <row r="109" customFormat="false" ht="32.25" hidden="false" customHeight="true" outlineLevel="0" collapsed="false">
      <c r="A109" s="3" t="s">
        <v>417</v>
      </c>
      <c r="B109" s="3" t="s">
        <v>444</v>
      </c>
      <c r="C109" s="3" t="s">
        <v>32</v>
      </c>
      <c r="D109" s="3" t="s">
        <v>477</v>
      </c>
      <c r="E109" s="3" t="s">
        <v>259</v>
      </c>
      <c r="F109" s="3" t="s">
        <v>456</v>
      </c>
      <c r="G109" s="3" t="s">
        <v>489</v>
      </c>
      <c r="H109" s="3" t="n">
        <v>5</v>
      </c>
      <c r="I109" s="3" t="s">
        <v>67</v>
      </c>
      <c r="J109" s="3" t="s">
        <v>490</v>
      </c>
      <c r="K109" s="3" t="s">
        <v>491</v>
      </c>
      <c r="L109" s="3" t="s">
        <v>492</v>
      </c>
      <c r="M109" s="3" t="s">
        <v>53</v>
      </c>
      <c r="N109" s="3" t="s">
        <v>42</v>
      </c>
      <c r="O109" s="3"/>
    </row>
    <row r="110" customFormat="false" ht="32.25" hidden="false" customHeight="true" outlineLevel="0" collapsed="false">
      <c r="A110" s="3" t="s">
        <v>417</v>
      </c>
      <c r="B110" s="3" t="s">
        <v>444</v>
      </c>
      <c r="C110" s="3" t="s">
        <v>32</v>
      </c>
      <c r="D110" s="3" t="s">
        <v>477</v>
      </c>
      <c r="E110" s="3" t="s">
        <v>132</v>
      </c>
      <c r="F110" s="3" t="s">
        <v>493</v>
      </c>
      <c r="G110" s="3" t="s">
        <v>45</v>
      </c>
      <c r="H110" s="3" t="n">
        <v>3</v>
      </c>
      <c r="I110" s="3" t="s">
        <v>37</v>
      </c>
      <c r="J110" s="3" t="s">
        <v>494</v>
      </c>
      <c r="K110" s="3" t="s">
        <v>495</v>
      </c>
      <c r="L110" s="3" t="s">
        <v>496</v>
      </c>
      <c r="M110" s="3" t="s">
        <v>41</v>
      </c>
      <c r="N110" s="3" t="s">
        <v>42</v>
      </c>
      <c r="O110" s="3"/>
    </row>
    <row r="111" customFormat="false" ht="32.25" hidden="false" customHeight="true" outlineLevel="0" collapsed="false">
      <c r="A111" s="3" t="s">
        <v>417</v>
      </c>
      <c r="B111" s="3" t="s">
        <v>444</v>
      </c>
      <c r="C111" s="3" t="s">
        <v>32</v>
      </c>
      <c r="D111" s="3" t="s">
        <v>497</v>
      </c>
      <c r="E111" s="3" t="s">
        <v>259</v>
      </c>
      <c r="F111" s="3" t="s">
        <v>498</v>
      </c>
      <c r="G111" s="3" t="s">
        <v>499</v>
      </c>
      <c r="H111" s="3" t="n">
        <v>5</v>
      </c>
      <c r="I111" s="3" t="s">
        <v>46</v>
      </c>
      <c r="J111" s="3" t="s">
        <v>500</v>
      </c>
      <c r="K111" s="3" t="s">
        <v>501</v>
      </c>
      <c r="L111" s="3" t="s">
        <v>502</v>
      </c>
      <c r="M111" s="3" t="s">
        <v>53</v>
      </c>
      <c r="N111" s="3" t="s">
        <v>42</v>
      </c>
      <c r="O111" s="3"/>
    </row>
    <row r="112" customFormat="false" ht="32.25" hidden="false" customHeight="true" outlineLevel="0" collapsed="false">
      <c r="A112" s="3" t="s">
        <v>417</v>
      </c>
      <c r="B112" s="3" t="s">
        <v>444</v>
      </c>
      <c r="C112" s="3" t="s">
        <v>32</v>
      </c>
      <c r="D112" s="3" t="s">
        <v>497</v>
      </c>
      <c r="E112" s="3" t="s">
        <v>54</v>
      </c>
      <c r="F112" s="3" t="s">
        <v>400</v>
      </c>
      <c r="G112" s="3" t="s">
        <v>503</v>
      </c>
      <c r="H112" s="3" t="n">
        <v>3</v>
      </c>
      <c r="I112" s="3" t="s">
        <v>37</v>
      </c>
      <c r="J112" s="3" t="s">
        <v>504</v>
      </c>
      <c r="K112" s="3" t="s">
        <v>505</v>
      </c>
      <c r="L112" s="3" t="s">
        <v>506</v>
      </c>
      <c r="M112" s="3" t="s">
        <v>107</v>
      </c>
      <c r="N112" s="3" t="s">
        <v>42</v>
      </c>
      <c r="O112" s="3"/>
    </row>
    <row r="113" customFormat="false" ht="32.25" hidden="false" customHeight="true" outlineLevel="0" collapsed="false">
      <c r="A113" s="3" t="s">
        <v>281</v>
      </c>
      <c r="B113" s="3" t="s">
        <v>444</v>
      </c>
      <c r="C113" s="3" t="s">
        <v>32</v>
      </c>
      <c r="D113" s="3" t="s">
        <v>507</v>
      </c>
      <c r="E113" s="3" t="s">
        <v>54</v>
      </c>
      <c r="F113" s="3" t="s">
        <v>468</v>
      </c>
      <c r="G113" s="3" t="s">
        <v>469</v>
      </c>
      <c r="H113" s="3" t="n">
        <v>5</v>
      </c>
      <c r="I113" s="3" t="s">
        <v>67</v>
      </c>
      <c r="J113" s="3" t="s">
        <v>508</v>
      </c>
      <c r="K113" s="3" t="s">
        <v>509</v>
      </c>
      <c r="L113" s="3" t="s">
        <v>510</v>
      </c>
      <c r="M113" s="3" t="s">
        <v>53</v>
      </c>
      <c r="N113" s="3" t="s">
        <v>42</v>
      </c>
      <c r="O113" s="3"/>
    </row>
    <row r="114" customFormat="false" ht="32.25" hidden="false" customHeight="true" outlineLevel="0" collapsed="false">
      <c r="A114" s="3" t="s">
        <v>511</v>
      </c>
      <c r="B114" s="3" t="s">
        <v>444</v>
      </c>
      <c r="C114" s="3" t="s">
        <v>32</v>
      </c>
      <c r="D114" s="3" t="s">
        <v>512</v>
      </c>
      <c r="E114" s="3" t="s">
        <v>132</v>
      </c>
      <c r="F114" s="3" t="s">
        <v>188</v>
      </c>
      <c r="G114" s="3" t="s">
        <v>489</v>
      </c>
      <c r="H114" s="3" t="n">
        <v>5</v>
      </c>
      <c r="I114" s="3" t="s">
        <v>46</v>
      </c>
      <c r="J114" s="3" t="s">
        <v>513</v>
      </c>
      <c r="K114" s="3" t="s">
        <v>514</v>
      </c>
      <c r="L114" s="3" t="s">
        <v>515</v>
      </c>
      <c r="M114" s="3" t="s">
        <v>53</v>
      </c>
      <c r="N114" s="3" t="s">
        <v>42</v>
      </c>
      <c r="O114" s="3"/>
    </row>
    <row r="115" customFormat="false" ht="32.25" hidden="false" customHeight="true" outlineLevel="0" collapsed="false">
      <c r="A115" s="3" t="s">
        <v>511</v>
      </c>
      <c r="B115" s="3" t="s">
        <v>444</v>
      </c>
      <c r="C115" s="3" t="s">
        <v>32</v>
      </c>
      <c r="D115" s="3" t="s">
        <v>516</v>
      </c>
      <c r="E115" s="3" t="s">
        <v>54</v>
      </c>
      <c r="F115" s="3" t="s">
        <v>337</v>
      </c>
      <c r="G115" s="3" t="s">
        <v>469</v>
      </c>
      <c r="H115" s="3" t="n">
        <v>5</v>
      </c>
      <c r="I115" s="3" t="s">
        <v>46</v>
      </c>
      <c r="J115" s="3" t="s">
        <v>517</v>
      </c>
      <c r="K115" s="3" t="s">
        <v>518</v>
      </c>
      <c r="L115" s="3" t="s">
        <v>519</v>
      </c>
      <c r="M115" s="3" t="s">
        <v>53</v>
      </c>
      <c r="N115" s="3" t="s">
        <v>42</v>
      </c>
      <c r="O115" s="3"/>
    </row>
    <row r="116" customFormat="false" ht="15" hidden="false" customHeight="true" outlineLevel="0" collapsed="false">
      <c r="A116" s="1" t="s">
        <v>520</v>
      </c>
      <c r="B116" s="1" t="s">
        <v>167</v>
      </c>
      <c r="C116" s="1" t="s">
        <v>168</v>
      </c>
      <c r="D116" s="1" t="s">
        <v>521</v>
      </c>
      <c r="E116" s="1" t="s">
        <v>144</v>
      </c>
      <c r="F116" s="1" t="s">
        <v>522</v>
      </c>
      <c r="G116" s="1" t="s">
        <v>523</v>
      </c>
      <c r="H116" s="1" t="n">
        <v>2</v>
      </c>
      <c r="I116" s="1" t="s">
        <v>73</v>
      </c>
      <c r="K116" s="1" t="s">
        <v>524</v>
      </c>
      <c r="L116" s="1" t="s">
        <v>525</v>
      </c>
      <c r="M116" s="1" t="s">
        <v>107</v>
      </c>
      <c r="N116" s="1" t="s">
        <v>42</v>
      </c>
    </row>
    <row r="117" customFormat="false" ht="15" hidden="false" customHeight="true" outlineLevel="0" collapsed="false">
      <c r="A117" s="1" t="s">
        <v>142</v>
      </c>
      <c r="B117" s="1" t="s">
        <v>167</v>
      </c>
      <c r="C117" s="1" t="s">
        <v>168</v>
      </c>
      <c r="D117" s="1" t="s">
        <v>526</v>
      </c>
      <c r="E117" s="1" t="s">
        <v>144</v>
      </c>
      <c r="F117" s="1" t="s">
        <v>527</v>
      </c>
      <c r="G117" s="1" t="s">
        <v>181</v>
      </c>
      <c r="H117" s="1" t="n">
        <v>3</v>
      </c>
      <c r="I117" s="1" t="s">
        <v>73</v>
      </c>
      <c r="K117" s="1" t="s">
        <v>528</v>
      </c>
      <c r="L117" s="1" t="s">
        <v>529</v>
      </c>
      <c r="M117" s="1" t="s">
        <v>41</v>
      </c>
      <c r="N117" s="1" t="s">
        <v>42</v>
      </c>
    </row>
    <row r="118" customFormat="false" ht="15" hidden="false" customHeight="true" outlineLevel="0" collapsed="false">
      <c r="A118" s="1" t="s">
        <v>379</v>
      </c>
      <c r="B118" s="1" t="s">
        <v>167</v>
      </c>
      <c r="C118" s="1" t="s">
        <v>168</v>
      </c>
      <c r="D118" s="1" t="s">
        <v>530</v>
      </c>
      <c r="E118" s="1" t="s">
        <v>132</v>
      </c>
      <c r="F118" s="1" t="s">
        <v>531</v>
      </c>
      <c r="G118" s="1" t="s">
        <v>532</v>
      </c>
      <c r="H118" s="1" t="n">
        <v>3</v>
      </c>
      <c r="I118" s="1" t="s">
        <v>37</v>
      </c>
      <c r="K118" s="1" t="s">
        <v>533</v>
      </c>
      <c r="L118" s="1" t="s">
        <v>534</v>
      </c>
      <c r="M118" s="1" t="s">
        <v>53</v>
      </c>
      <c r="N118" s="1" t="s">
        <v>42</v>
      </c>
    </row>
    <row r="119" customFormat="false" ht="15" hidden="false" customHeight="true" outlineLevel="0" collapsed="false">
      <c r="A119" s="1" t="s">
        <v>387</v>
      </c>
      <c r="B119" s="1" t="s">
        <v>167</v>
      </c>
      <c r="C119" s="1" t="s">
        <v>168</v>
      </c>
      <c r="D119" s="1" t="s">
        <v>535</v>
      </c>
      <c r="E119" s="1" t="s">
        <v>536</v>
      </c>
      <c r="F119" s="1" t="s">
        <v>537</v>
      </c>
      <c r="G119" s="1" t="s">
        <v>538</v>
      </c>
      <c r="H119" s="1" t="n">
        <v>4</v>
      </c>
      <c r="I119" s="1" t="s">
        <v>37</v>
      </c>
      <c r="K119" s="1" t="s">
        <v>539</v>
      </c>
      <c r="L119" s="1" t="s">
        <v>540</v>
      </c>
      <c r="M119" s="1" t="s">
        <v>53</v>
      </c>
      <c r="N119" s="1" t="s">
        <v>42</v>
      </c>
    </row>
    <row r="120" customFormat="false" ht="15" hidden="false" customHeight="true" outlineLevel="0" collapsed="false">
      <c r="A120" s="1" t="s">
        <v>387</v>
      </c>
      <c r="B120" s="1" t="s">
        <v>167</v>
      </c>
      <c r="C120" s="1" t="s">
        <v>168</v>
      </c>
      <c r="D120" s="1" t="s">
        <v>535</v>
      </c>
      <c r="E120" s="1" t="s">
        <v>60</v>
      </c>
      <c r="F120" s="1" t="s">
        <v>541</v>
      </c>
      <c r="G120" s="1" t="s">
        <v>542</v>
      </c>
      <c r="H120" s="1" t="n">
        <v>3</v>
      </c>
      <c r="I120" s="1" t="s">
        <v>37</v>
      </c>
      <c r="K120" s="1" t="s">
        <v>543</v>
      </c>
      <c r="L120" s="1" t="s">
        <v>544</v>
      </c>
      <c r="M120" s="1" t="s">
        <v>41</v>
      </c>
      <c r="N120" s="1" t="s">
        <v>42</v>
      </c>
    </row>
    <row r="121" customFormat="false" ht="15" hidden="false" customHeight="true" outlineLevel="0" collapsed="false">
      <c r="A121" s="1" t="s">
        <v>545</v>
      </c>
      <c r="B121" s="1" t="s">
        <v>167</v>
      </c>
      <c r="C121" s="1" t="s">
        <v>168</v>
      </c>
      <c r="D121" s="1" t="s">
        <v>546</v>
      </c>
      <c r="E121" s="1" t="s">
        <v>49</v>
      </c>
      <c r="F121" s="1" t="s">
        <v>547</v>
      </c>
      <c r="G121" s="1" t="s">
        <v>56</v>
      </c>
      <c r="H121" s="1" t="n">
        <v>3</v>
      </c>
      <c r="I121" s="1" t="s">
        <v>37</v>
      </c>
      <c r="J121" s="1" t="s">
        <v>548</v>
      </c>
      <c r="K121" s="1" t="s">
        <v>549</v>
      </c>
      <c r="L121" s="1" t="s">
        <v>550</v>
      </c>
      <c r="M121" s="1" t="s">
        <v>53</v>
      </c>
      <c r="N121" s="1" t="s">
        <v>42</v>
      </c>
    </row>
    <row r="122" customFormat="false" ht="15" hidden="false" customHeight="true" outlineLevel="0" collapsed="false">
      <c r="A122" s="1" t="s">
        <v>545</v>
      </c>
      <c r="B122" s="1" t="s">
        <v>167</v>
      </c>
      <c r="C122" s="1" t="s">
        <v>168</v>
      </c>
      <c r="D122" s="1" t="s">
        <v>546</v>
      </c>
      <c r="E122" s="1" t="s">
        <v>331</v>
      </c>
      <c r="F122" s="1" t="s">
        <v>551</v>
      </c>
      <c r="G122" s="1" t="s">
        <v>107</v>
      </c>
      <c r="H122" s="1" t="n">
        <v>3</v>
      </c>
      <c r="I122" s="1" t="s">
        <v>37</v>
      </c>
      <c r="K122" s="1" t="s">
        <v>552</v>
      </c>
      <c r="L122" s="1" t="s">
        <v>553</v>
      </c>
      <c r="M122" s="1" t="s">
        <v>41</v>
      </c>
      <c r="N122" s="1" t="s">
        <v>42</v>
      </c>
    </row>
    <row r="123" customFormat="false" ht="15" hidden="false" customHeight="true" outlineLevel="0" collapsed="false">
      <c r="A123" s="1" t="s">
        <v>554</v>
      </c>
      <c r="B123" s="1" t="s">
        <v>167</v>
      </c>
      <c r="C123" s="1" t="s">
        <v>168</v>
      </c>
      <c r="D123" s="1" t="s">
        <v>555</v>
      </c>
      <c r="E123" s="1" t="s">
        <v>60</v>
      </c>
      <c r="F123" s="1" t="s">
        <v>61</v>
      </c>
      <c r="G123" s="1" t="s">
        <v>556</v>
      </c>
      <c r="H123" s="1" t="n">
        <v>3</v>
      </c>
      <c r="I123" s="1" t="s">
        <v>37</v>
      </c>
      <c r="K123" s="1" t="s">
        <v>557</v>
      </c>
      <c r="L123" s="1" t="s">
        <v>558</v>
      </c>
      <c r="M123" s="1" t="s">
        <v>107</v>
      </c>
      <c r="N123" s="1" t="s">
        <v>42</v>
      </c>
    </row>
    <row r="124" customFormat="false" ht="15" hidden="false" customHeight="true" outlineLevel="0" collapsed="false">
      <c r="A124" s="1" t="s">
        <v>554</v>
      </c>
      <c r="B124" s="1" t="s">
        <v>167</v>
      </c>
      <c r="C124" s="1" t="s">
        <v>168</v>
      </c>
      <c r="D124" s="1" t="s">
        <v>555</v>
      </c>
      <c r="E124" s="1" t="s">
        <v>60</v>
      </c>
      <c r="F124" s="1" t="s">
        <v>559</v>
      </c>
      <c r="G124" s="1" t="s">
        <v>560</v>
      </c>
      <c r="H124" s="1" t="n">
        <v>3</v>
      </c>
      <c r="I124" s="1" t="s">
        <v>37</v>
      </c>
      <c r="K124" s="1" t="s">
        <v>561</v>
      </c>
      <c r="L124" s="1" t="s">
        <v>562</v>
      </c>
      <c r="M124" s="1" t="s">
        <v>53</v>
      </c>
      <c r="N124" s="1" t="s">
        <v>42</v>
      </c>
    </row>
    <row r="125" customFormat="false" ht="15" hidden="false" customHeight="true" outlineLevel="0" collapsed="false">
      <c r="A125" s="1" t="s">
        <v>108</v>
      </c>
      <c r="B125" s="1" t="s">
        <v>167</v>
      </c>
      <c r="C125" s="1" t="s">
        <v>168</v>
      </c>
      <c r="D125" s="1" t="s">
        <v>563</v>
      </c>
      <c r="E125" s="1" t="s">
        <v>49</v>
      </c>
      <c r="F125" s="1" t="s">
        <v>50</v>
      </c>
      <c r="G125" s="1" t="s">
        <v>564</v>
      </c>
      <c r="H125" s="1" t="n">
        <v>4</v>
      </c>
      <c r="I125" s="1" t="s">
        <v>37</v>
      </c>
      <c r="K125" s="1" t="s">
        <v>565</v>
      </c>
      <c r="L125" s="1" t="s">
        <v>566</v>
      </c>
      <c r="M125" s="1" t="s">
        <v>53</v>
      </c>
      <c r="N125" s="1" t="s">
        <v>42</v>
      </c>
    </row>
    <row r="126" customFormat="false" ht="15" hidden="false" customHeight="true" outlineLevel="0" collapsed="false">
      <c r="A126" s="1" t="s">
        <v>108</v>
      </c>
      <c r="B126" s="1" t="s">
        <v>167</v>
      </c>
      <c r="C126" s="1" t="s">
        <v>168</v>
      </c>
      <c r="D126" s="1" t="s">
        <v>563</v>
      </c>
      <c r="E126" s="1" t="s">
        <v>144</v>
      </c>
      <c r="F126" s="1" t="s">
        <v>180</v>
      </c>
      <c r="G126" s="1" t="s">
        <v>277</v>
      </c>
      <c r="H126" s="1" t="n">
        <v>4</v>
      </c>
      <c r="I126" s="1" t="s">
        <v>37</v>
      </c>
      <c r="K126" s="1" t="s">
        <v>567</v>
      </c>
      <c r="L126" s="1" t="s">
        <v>568</v>
      </c>
      <c r="M126" s="1" t="s">
        <v>53</v>
      </c>
      <c r="N126" s="1" t="s">
        <v>42</v>
      </c>
    </row>
    <row r="127" customFormat="false" ht="15" hidden="false" customHeight="true" outlineLevel="0" collapsed="false">
      <c r="A127" s="1" t="s">
        <v>569</v>
      </c>
      <c r="B127" s="1" t="s">
        <v>167</v>
      </c>
      <c r="C127" s="1" t="s">
        <v>168</v>
      </c>
      <c r="D127" s="1" t="s">
        <v>570</v>
      </c>
      <c r="E127" s="1" t="s">
        <v>60</v>
      </c>
      <c r="F127" s="1" t="s">
        <v>61</v>
      </c>
      <c r="G127" s="1" t="s">
        <v>571</v>
      </c>
      <c r="H127" s="1" t="n">
        <v>3</v>
      </c>
      <c r="I127" s="1" t="s">
        <v>37</v>
      </c>
      <c r="J127" s="1" t="s">
        <v>572</v>
      </c>
      <c r="K127" s="1" t="s">
        <v>573</v>
      </c>
      <c r="L127" s="1" t="s">
        <v>574</v>
      </c>
      <c r="M127" s="1" t="s">
        <v>107</v>
      </c>
      <c r="N127" s="1" t="s">
        <v>42</v>
      </c>
    </row>
    <row r="128" customFormat="false" ht="15" hidden="false" customHeight="true" outlineLevel="0" collapsed="false">
      <c r="A128" s="1" t="s">
        <v>575</v>
      </c>
      <c r="B128" s="1" t="s">
        <v>167</v>
      </c>
      <c r="C128" s="1" t="s">
        <v>168</v>
      </c>
      <c r="D128" s="1" t="s">
        <v>576</v>
      </c>
      <c r="E128" s="1" t="s">
        <v>577</v>
      </c>
      <c r="F128" s="1" t="s">
        <v>578</v>
      </c>
      <c r="G128" s="1" t="s">
        <v>579</v>
      </c>
      <c r="H128" s="1" t="n">
        <v>2</v>
      </c>
      <c r="I128" s="1" t="s">
        <v>73</v>
      </c>
      <c r="K128" s="1" t="s">
        <v>580</v>
      </c>
      <c r="L128" s="1" t="s">
        <v>581</v>
      </c>
      <c r="M128" s="1" t="s">
        <v>107</v>
      </c>
      <c r="N128" s="1" t="s">
        <v>42</v>
      </c>
    </row>
    <row r="129" customFormat="false" ht="15" hidden="false" customHeight="true" outlineLevel="0" collapsed="false">
      <c r="A129" s="1" t="s">
        <v>582</v>
      </c>
      <c r="B129" s="1" t="s">
        <v>167</v>
      </c>
      <c r="C129" s="1" t="s">
        <v>168</v>
      </c>
      <c r="D129" s="1" t="s">
        <v>583</v>
      </c>
      <c r="E129" s="1" t="s">
        <v>213</v>
      </c>
      <c r="F129" s="1" t="s">
        <v>584</v>
      </c>
      <c r="G129" s="1" t="s">
        <v>585</v>
      </c>
      <c r="H129" s="1" t="n">
        <v>3</v>
      </c>
      <c r="I129" s="1" t="s">
        <v>46</v>
      </c>
      <c r="K129" s="1" t="s">
        <v>586</v>
      </c>
      <c r="L129" s="1" t="s">
        <v>587</v>
      </c>
      <c r="M129" s="1" t="s">
        <v>107</v>
      </c>
      <c r="N129" s="1" t="s">
        <v>42</v>
      </c>
    </row>
    <row r="130" customFormat="false" ht="15" hidden="false" customHeight="true" outlineLevel="0" collapsed="false">
      <c r="A130" s="1" t="s">
        <v>588</v>
      </c>
      <c r="B130" s="1" t="s">
        <v>167</v>
      </c>
      <c r="C130" s="1" t="s">
        <v>168</v>
      </c>
      <c r="D130" s="1" t="s">
        <v>589</v>
      </c>
      <c r="E130" s="1" t="s">
        <v>54</v>
      </c>
      <c r="F130" s="1" t="s">
        <v>590</v>
      </c>
      <c r="G130" s="1" t="s">
        <v>56</v>
      </c>
      <c r="H130" s="1" t="n">
        <v>3</v>
      </c>
      <c r="I130" s="1" t="s">
        <v>73</v>
      </c>
      <c r="K130" s="1" t="s">
        <v>591</v>
      </c>
      <c r="L130" s="1" t="s">
        <v>592</v>
      </c>
      <c r="M130" s="1" t="s">
        <v>53</v>
      </c>
      <c r="N130" s="1" t="s">
        <v>42</v>
      </c>
    </row>
    <row r="131" customFormat="false" ht="15" hidden="false" customHeight="true" outlineLevel="0" collapsed="false">
      <c r="A131" s="1" t="s">
        <v>588</v>
      </c>
      <c r="B131" s="1" t="s">
        <v>167</v>
      </c>
      <c r="C131" s="1" t="s">
        <v>168</v>
      </c>
      <c r="D131" s="1" t="s">
        <v>589</v>
      </c>
      <c r="E131" s="1" t="s">
        <v>54</v>
      </c>
      <c r="F131" s="1" t="s">
        <v>593</v>
      </c>
      <c r="G131" s="1" t="s">
        <v>56</v>
      </c>
      <c r="H131" s="1" t="n">
        <v>3</v>
      </c>
      <c r="I131" s="1" t="s">
        <v>73</v>
      </c>
      <c r="K131" s="1" t="s">
        <v>594</v>
      </c>
      <c r="L131" s="1" t="s">
        <v>595</v>
      </c>
      <c r="M131" s="1" t="s">
        <v>53</v>
      </c>
      <c r="N131" s="1" t="s">
        <v>42</v>
      </c>
    </row>
    <row r="132" customFormat="false" ht="15" hidden="false" customHeight="true" outlineLevel="0" collapsed="false">
      <c r="A132" s="1" t="s">
        <v>588</v>
      </c>
      <c r="B132" s="1" t="s">
        <v>167</v>
      </c>
      <c r="C132" s="1" t="s">
        <v>168</v>
      </c>
      <c r="D132" s="1" t="s">
        <v>589</v>
      </c>
      <c r="E132" s="1" t="s">
        <v>54</v>
      </c>
      <c r="F132" s="1" t="s">
        <v>596</v>
      </c>
      <c r="G132" s="1" t="s">
        <v>56</v>
      </c>
      <c r="H132" s="1" t="n">
        <v>3</v>
      </c>
      <c r="I132" s="1" t="s">
        <v>73</v>
      </c>
      <c r="K132" s="1" t="s">
        <v>597</v>
      </c>
      <c r="L132" s="1" t="s">
        <v>598</v>
      </c>
      <c r="M132" s="1" t="s">
        <v>53</v>
      </c>
      <c r="N132" s="1" t="s">
        <v>42</v>
      </c>
    </row>
    <row r="133" customFormat="false" ht="15" hidden="false" customHeight="true" outlineLevel="0" collapsed="false">
      <c r="A133" s="1" t="s">
        <v>81</v>
      </c>
      <c r="B133" s="1" t="s">
        <v>167</v>
      </c>
      <c r="C133" s="1" t="s">
        <v>168</v>
      </c>
      <c r="D133" s="1" t="s">
        <v>599</v>
      </c>
      <c r="E133" s="1" t="s">
        <v>536</v>
      </c>
      <c r="F133" s="1" t="s">
        <v>600</v>
      </c>
      <c r="G133" s="1" t="s">
        <v>601</v>
      </c>
      <c r="H133" s="1" t="n">
        <v>4</v>
      </c>
      <c r="I133" s="1" t="s">
        <v>37</v>
      </c>
      <c r="K133" s="1" t="s">
        <v>602</v>
      </c>
      <c r="L133" s="1" t="s">
        <v>603</v>
      </c>
      <c r="M133" s="1" t="s">
        <v>41</v>
      </c>
      <c r="N133" s="1" t="s">
        <v>42</v>
      </c>
    </row>
    <row r="134" customFormat="false" ht="15" hidden="false" customHeight="true" outlineLevel="0" collapsed="false">
      <c r="A134" s="1" t="s">
        <v>81</v>
      </c>
      <c r="B134" s="1" t="s">
        <v>167</v>
      </c>
      <c r="C134" s="1" t="s">
        <v>168</v>
      </c>
      <c r="D134" s="1" t="s">
        <v>599</v>
      </c>
      <c r="E134" s="1" t="s">
        <v>174</v>
      </c>
      <c r="F134" s="1" t="s">
        <v>175</v>
      </c>
      <c r="G134" s="1" t="s">
        <v>176</v>
      </c>
      <c r="H134" s="1" t="n">
        <v>4</v>
      </c>
      <c r="I134" s="1" t="s">
        <v>37</v>
      </c>
      <c r="K134" s="1" t="s">
        <v>604</v>
      </c>
      <c r="L134" s="1" t="s">
        <v>605</v>
      </c>
      <c r="M134" s="1" t="s">
        <v>53</v>
      </c>
      <c r="N134" s="1" t="s">
        <v>42</v>
      </c>
    </row>
    <row r="135" customFormat="false" ht="15" hidden="false" customHeight="true" outlineLevel="0" collapsed="false">
      <c r="A135" s="1" t="s">
        <v>606</v>
      </c>
      <c r="B135" s="1" t="s">
        <v>167</v>
      </c>
      <c r="C135" s="1" t="s">
        <v>168</v>
      </c>
      <c r="D135" s="1" t="s">
        <v>607</v>
      </c>
      <c r="E135" s="1" t="s">
        <v>54</v>
      </c>
      <c r="F135" s="1" t="s">
        <v>337</v>
      </c>
      <c r="G135" s="1" t="s">
        <v>56</v>
      </c>
      <c r="H135" s="1" t="n">
        <v>5</v>
      </c>
      <c r="I135" s="1" t="s">
        <v>46</v>
      </c>
      <c r="K135" s="1" t="s">
        <v>608</v>
      </c>
      <c r="L135" s="1" t="s">
        <v>609</v>
      </c>
      <c r="M135" s="1" t="s">
        <v>41</v>
      </c>
      <c r="N135" s="1" t="s">
        <v>42</v>
      </c>
    </row>
    <row r="136" customFormat="false" ht="15" hidden="false" customHeight="true" outlineLevel="0" collapsed="false">
      <c r="A136" s="1" t="s">
        <v>610</v>
      </c>
      <c r="B136" s="1" t="s">
        <v>167</v>
      </c>
      <c r="C136" s="1" t="s">
        <v>168</v>
      </c>
      <c r="D136" s="1" t="s">
        <v>611</v>
      </c>
      <c r="E136" s="1" t="s">
        <v>536</v>
      </c>
      <c r="F136" s="1" t="s">
        <v>537</v>
      </c>
      <c r="G136" s="1" t="s">
        <v>612</v>
      </c>
      <c r="H136" s="1" t="n">
        <v>4</v>
      </c>
      <c r="I136" s="1" t="s">
        <v>37</v>
      </c>
      <c r="K136" s="1" t="s">
        <v>613</v>
      </c>
      <c r="L136" s="1" t="s">
        <v>614</v>
      </c>
      <c r="M136" s="1" t="s">
        <v>41</v>
      </c>
      <c r="N136" s="1" t="s">
        <v>42</v>
      </c>
    </row>
    <row r="137" customFormat="false" ht="57" hidden="false" customHeight="true" outlineLevel="0" collapsed="false">
      <c r="A137" s="5" t="s">
        <v>342</v>
      </c>
      <c r="B137" s="5" t="s">
        <v>31</v>
      </c>
      <c r="C137" s="5" t="s">
        <v>615</v>
      </c>
      <c r="D137" s="5" t="s">
        <v>616</v>
      </c>
      <c r="E137" s="5" t="s">
        <v>144</v>
      </c>
      <c r="F137" s="5" t="s">
        <v>617</v>
      </c>
      <c r="G137" s="5" t="s">
        <v>618</v>
      </c>
      <c r="H137" s="5" t="n">
        <v>3</v>
      </c>
      <c r="I137" s="5" t="s">
        <v>67</v>
      </c>
      <c r="J137" s="5" t="s">
        <v>619</v>
      </c>
      <c r="K137" s="5" t="s">
        <v>620</v>
      </c>
      <c r="L137" s="5" t="s">
        <v>621</v>
      </c>
      <c r="M137" s="5" t="s">
        <v>53</v>
      </c>
      <c r="N137" s="5" t="s">
        <v>42</v>
      </c>
      <c r="O137" s="5"/>
    </row>
    <row r="138" customFormat="false" ht="79.5" hidden="false" customHeight="true" outlineLevel="0" collapsed="false">
      <c r="A138" s="5" t="s">
        <v>342</v>
      </c>
      <c r="B138" s="5" t="s">
        <v>31</v>
      </c>
      <c r="C138" s="5" t="s">
        <v>615</v>
      </c>
      <c r="D138" s="5" t="s">
        <v>616</v>
      </c>
      <c r="E138" s="5" t="s">
        <v>54</v>
      </c>
      <c r="F138" s="5" t="s">
        <v>337</v>
      </c>
      <c r="G138" s="5" t="s">
        <v>56</v>
      </c>
      <c r="H138" s="5" t="n">
        <v>5</v>
      </c>
      <c r="I138" s="5" t="s">
        <v>46</v>
      </c>
      <c r="J138" s="5" t="s">
        <v>622</v>
      </c>
      <c r="K138" s="5" t="s">
        <v>623</v>
      </c>
      <c r="L138" s="5" t="s">
        <v>624</v>
      </c>
      <c r="M138" s="5" t="s">
        <v>41</v>
      </c>
      <c r="N138" s="5" t="s">
        <v>42</v>
      </c>
      <c r="O138" s="5"/>
    </row>
    <row r="139" customFormat="false" ht="79.5" hidden="false" customHeight="true" outlineLevel="0" collapsed="false">
      <c r="A139" s="5" t="s">
        <v>342</v>
      </c>
      <c r="B139" s="5" t="s">
        <v>31</v>
      </c>
      <c r="C139" s="5" t="s">
        <v>615</v>
      </c>
      <c r="D139" s="5" t="s">
        <v>616</v>
      </c>
      <c r="E139" s="5" t="s">
        <v>49</v>
      </c>
      <c r="F139" s="5" t="s">
        <v>625</v>
      </c>
      <c r="G139" s="5" t="s">
        <v>626</v>
      </c>
      <c r="H139" s="5" t="n">
        <v>3</v>
      </c>
      <c r="I139" s="5" t="s">
        <v>37</v>
      </c>
      <c r="J139" s="5"/>
      <c r="K139" s="5" t="s">
        <v>627</v>
      </c>
      <c r="L139" s="5" t="s">
        <v>628</v>
      </c>
      <c r="M139" s="5" t="s">
        <v>107</v>
      </c>
      <c r="N139" s="5" t="s">
        <v>42</v>
      </c>
      <c r="O139" s="5"/>
    </row>
    <row r="140" customFormat="false" ht="68.25" hidden="false" customHeight="true" outlineLevel="0" collapsed="false">
      <c r="A140" s="5" t="s">
        <v>342</v>
      </c>
      <c r="B140" s="5" t="s">
        <v>31</v>
      </c>
      <c r="C140" s="5" t="s">
        <v>615</v>
      </c>
      <c r="D140" s="5" t="s">
        <v>616</v>
      </c>
      <c r="E140" s="5" t="s">
        <v>259</v>
      </c>
      <c r="F140" s="5" t="s">
        <v>629</v>
      </c>
      <c r="G140" s="5" t="s">
        <v>630</v>
      </c>
      <c r="H140" s="5" t="n">
        <v>3</v>
      </c>
      <c r="I140" s="5" t="s">
        <v>37</v>
      </c>
      <c r="J140" s="5" t="s">
        <v>631</v>
      </c>
      <c r="K140" s="5" t="s">
        <v>632</v>
      </c>
      <c r="L140" s="5" t="s">
        <v>633</v>
      </c>
      <c r="M140" s="5" t="s">
        <v>41</v>
      </c>
      <c r="N140" s="5" t="s">
        <v>42</v>
      </c>
      <c r="O140" s="5"/>
    </row>
    <row r="141" customFormat="false" ht="90.75" hidden="false" customHeight="true" outlineLevel="0" collapsed="false">
      <c r="A141" s="5" t="s">
        <v>342</v>
      </c>
      <c r="B141" s="5" t="s">
        <v>31</v>
      </c>
      <c r="C141" s="5" t="s">
        <v>615</v>
      </c>
      <c r="D141" s="5" t="s">
        <v>616</v>
      </c>
      <c r="E141" s="5" t="s">
        <v>144</v>
      </c>
      <c r="F141" s="5" t="s">
        <v>634</v>
      </c>
      <c r="G141" s="5" t="s">
        <v>635</v>
      </c>
      <c r="H141" s="5" t="n">
        <v>3</v>
      </c>
      <c r="I141" s="5" t="s">
        <v>46</v>
      </c>
      <c r="J141" s="5"/>
      <c r="K141" s="5" t="s">
        <v>636</v>
      </c>
      <c r="L141" s="5" t="s">
        <v>637</v>
      </c>
      <c r="M141" s="5" t="s">
        <v>41</v>
      </c>
      <c r="N141" s="5" t="s">
        <v>42</v>
      </c>
      <c r="O141" s="5"/>
    </row>
    <row r="142" customFormat="false" ht="90.75" hidden="false" customHeight="true" outlineLevel="0" collapsed="false">
      <c r="A142" s="5" t="s">
        <v>342</v>
      </c>
      <c r="B142" s="5" t="s">
        <v>31</v>
      </c>
      <c r="C142" s="5" t="s">
        <v>615</v>
      </c>
      <c r="D142" s="5" t="s">
        <v>616</v>
      </c>
      <c r="E142" s="5" t="s">
        <v>77</v>
      </c>
      <c r="F142" s="5" t="s">
        <v>78</v>
      </c>
      <c r="G142" s="5" t="s">
        <v>638</v>
      </c>
      <c r="H142" s="5" t="n">
        <v>5</v>
      </c>
      <c r="I142" s="5" t="s">
        <v>62</v>
      </c>
      <c r="J142" s="5" t="s">
        <v>639</v>
      </c>
      <c r="K142" s="5" t="s">
        <v>640</v>
      </c>
      <c r="L142" s="5" t="s">
        <v>641</v>
      </c>
      <c r="M142" s="5" t="s">
        <v>53</v>
      </c>
      <c r="N142" s="5" t="s">
        <v>42</v>
      </c>
      <c r="O142" s="5"/>
    </row>
    <row r="143" customFormat="false" ht="90.75" hidden="false" customHeight="true" outlineLevel="0" collapsed="false">
      <c r="A143" s="5" t="s">
        <v>342</v>
      </c>
      <c r="B143" s="5" t="s">
        <v>31</v>
      </c>
      <c r="C143" s="5" t="s">
        <v>615</v>
      </c>
      <c r="D143" s="5" t="s">
        <v>616</v>
      </c>
      <c r="E143" s="5" t="s">
        <v>642</v>
      </c>
      <c r="F143" s="5" t="s">
        <v>643</v>
      </c>
      <c r="G143" s="5" t="s">
        <v>644</v>
      </c>
      <c r="H143" s="5" t="n">
        <v>4</v>
      </c>
      <c r="I143" s="5" t="s">
        <v>62</v>
      </c>
      <c r="J143" s="5"/>
      <c r="K143" s="5" t="s">
        <v>645</v>
      </c>
      <c r="L143" s="5" t="s">
        <v>646</v>
      </c>
      <c r="M143" s="5" t="s">
        <v>53</v>
      </c>
      <c r="N143" s="5" t="s">
        <v>42</v>
      </c>
      <c r="O143" s="5"/>
    </row>
    <row r="144" customFormat="false" ht="68.25" hidden="false" customHeight="true" outlineLevel="0" collapsed="false">
      <c r="A144" s="5" t="s">
        <v>342</v>
      </c>
      <c r="B144" s="5" t="s">
        <v>31</v>
      </c>
      <c r="C144" s="5" t="s">
        <v>615</v>
      </c>
      <c r="D144" s="5" t="s">
        <v>616</v>
      </c>
      <c r="E144" s="5" t="s">
        <v>54</v>
      </c>
      <c r="F144" s="5" t="s">
        <v>375</v>
      </c>
      <c r="G144" s="5" t="s">
        <v>647</v>
      </c>
      <c r="H144" s="5" t="n">
        <v>2</v>
      </c>
      <c r="I144" s="5" t="s">
        <v>67</v>
      </c>
      <c r="J144" s="5"/>
      <c r="K144" s="5" t="s">
        <v>648</v>
      </c>
      <c r="L144" s="5" t="s">
        <v>649</v>
      </c>
      <c r="M144" s="5" t="s">
        <v>107</v>
      </c>
      <c r="N144" s="5" t="s">
        <v>42</v>
      </c>
      <c r="O144" s="5"/>
    </row>
    <row r="145" customFormat="false" ht="57" hidden="false" customHeight="true" outlineLevel="0" collapsed="false">
      <c r="A145" s="5" t="s">
        <v>342</v>
      </c>
      <c r="B145" s="5" t="s">
        <v>31</v>
      </c>
      <c r="C145" s="5" t="s">
        <v>615</v>
      </c>
      <c r="D145" s="5" t="s">
        <v>616</v>
      </c>
      <c r="E145" s="5" t="s">
        <v>60</v>
      </c>
      <c r="F145" s="5" t="s">
        <v>61</v>
      </c>
      <c r="G145" s="5" t="s">
        <v>120</v>
      </c>
      <c r="H145" s="5" t="n">
        <v>3</v>
      </c>
      <c r="I145" s="5" t="s">
        <v>62</v>
      </c>
      <c r="J145" s="5" t="s">
        <v>650</v>
      </c>
      <c r="K145" s="5" t="s">
        <v>651</v>
      </c>
      <c r="L145" s="5" t="s">
        <v>652</v>
      </c>
      <c r="M145" s="5" t="s">
        <v>53</v>
      </c>
      <c r="N145" s="5" t="s">
        <v>42</v>
      </c>
      <c r="O145" s="5"/>
    </row>
    <row r="146" customFormat="false" ht="68.25" hidden="false" customHeight="true" outlineLevel="0" collapsed="false">
      <c r="A146" s="5" t="s">
        <v>342</v>
      </c>
      <c r="B146" s="5" t="s">
        <v>31</v>
      </c>
      <c r="C146" s="5" t="s">
        <v>615</v>
      </c>
      <c r="D146" s="5" t="s">
        <v>616</v>
      </c>
      <c r="E146" s="5" t="s">
        <v>259</v>
      </c>
      <c r="F146" s="5" t="s">
        <v>653</v>
      </c>
      <c r="G146" s="5" t="s">
        <v>654</v>
      </c>
      <c r="H146" s="5" t="n">
        <v>4</v>
      </c>
      <c r="I146" s="5" t="s">
        <v>62</v>
      </c>
      <c r="J146" s="5"/>
      <c r="K146" s="5" t="s">
        <v>655</v>
      </c>
      <c r="L146" s="5" t="s">
        <v>656</v>
      </c>
      <c r="M146" s="5" t="s">
        <v>53</v>
      </c>
      <c r="N146" s="5" t="s">
        <v>42</v>
      </c>
      <c r="O146" s="5"/>
    </row>
    <row r="147" customFormat="false" ht="90.75" hidden="false" customHeight="true" outlineLevel="0" collapsed="false">
      <c r="A147" s="5" t="s">
        <v>342</v>
      </c>
      <c r="B147" s="5" t="s">
        <v>31</v>
      </c>
      <c r="C147" s="5" t="s">
        <v>615</v>
      </c>
      <c r="D147" s="5" t="s">
        <v>616</v>
      </c>
      <c r="E147" s="5" t="s">
        <v>132</v>
      </c>
      <c r="F147" s="5" t="s">
        <v>369</v>
      </c>
      <c r="G147" s="5" t="s">
        <v>657</v>
      </c>
      <c r="H147" s="5" t="n">
        <v>3</v>
      </c>
      <c r="I147" s="5" t="s">
        <v>67</v>
      </c>
      <c r="J147" s="5" t="s">
        <v>658</v>
      </c>
      <c r="K147" s="5" t="s">
        <v>659</v>
      </c>
      <c r="L147" s="5" t="s">
        <v>660</v>
      </c>
      <c r="M147" s="5" t="s">
        <v>107</v>
      </c>
      <c r="N147" s="5" t="s">
        <v>42</v>
      </c>
      <c r="O147" s="5"/>
    </row>
    <row r="148" customFormat="false" ht="15" hidden="false" customHeight="true" outlineLevel="0" collapsed="false">
      <c r="A148" s="1" t="s">
        <v>511</v>
      </c>
      <c r="B148" s="1" t="s">
        <v>661</v>
      </c>
      <c r="C148" s="1" t="s">
        <v>32</v>
      </c>
      <c r="D148" s="1" t="s">
        <v>662</v>
      </c>
      <c r="E148" s="1" t="s">
        <v>132</v>
      </c>
      <c r="F148" s="1" t="s">
        <v>188</v>
      </c>
      <c r="G148" s="1" t="s">
        <v>45</v>
      </c>
      <c r="H148" s="1" t="n">
        <v>5</v>
      </c>
      <c r="I148" s="1" t="s">
        <v>62</v>
      </c>
      <c r="K148" s="1" t="s">
        <v>663</v>
      </c>
      <c r="L148" s="1" t="s">
        <v>664</v>
      </c>
      <c r="M148" s="1" t="s">
        <v>53</v>
      </c>
      <c r="N148" s="1" t="s">
        <v>42</v>
      </c>
    </row>
    <row r="149" customFormat="false" ht="15" hidden="false" customHeight="true" outlineLevel="0" collapsed="false">
      <c r="A149" s="1" t="s">
        <v>511</v>
      </c>
      <c r="B149" s="1" t="s">
        <v>661</v>
      </c>
      <c r="C149" s="1" t="s">
        <v>32</v>
      </c>
      <c r="D149" s="1" t="s">
        <v>662</v>
      </c>
      <c r="E149" s="1" t="s">
        <v>54</v>
      </c>
      <c r="F149" s="1" t="s">
        <v>337</v>
      </c>
      <c r="G149" s="1" t="s">
        <v>56</v>
      </c>
      <c r="H149" s="1" t="n">
        <v>4</v>
      </c>
      <c r="I149" s="1" t="s">
        <v>62</v>
      </c>
      <c r="K149" s="1" t="s">
        <v>665</v>
      </c>
      <c r="L149" s="1" t="s">
        <v>666</v>
      </c>
      <c r="M149" s="1" t="s">
        <v>53</v>
      </c>
      <c r="N149" s="1" t="s">
        <v>42</v>
      </c>
    </row>
    <row r="150" customFormat="false" ht="15" hidden="false" customHeight="true" outlineLevel="0" collapsed="false">
      <c r="A150" s="1" t="s">
        <v>511</v>
      </c>
      <c r="B150" s="1" t="s">
        <v>661</v>
      </c>
      <c r="C150" s="1" t="s">
        <v>32</v>
      </c>
      <c r="D150" s="1" t="s">
        <v>662</v>
      </c>
      <c r="E150" s="1" t="s">
        <v>54</v>
      </c>
      <c r="F150" s="1" t="s">
        <v>400</v>
      </c>
      <c r="G150" s="1" t="s">
        <v>56</v>
      </c>
      <c r="H150" s="1" t="n">
        <v>4</v>
      </c>
      <c r="I150" s="1" t="s">
        <v>62</v>
      </c>
      <c r="K150" s="1" t="s">
        <v>667</v>
      </c>
      <c r="L150" s="1" t="s">
        <v>668</v>
      </c>
      <c r="M150" s="1" t="s">
        <v>53</v>
      </c>
      <c r="N150" s="1" t="s">
        <v>42</v>
      </c>
    </row>
    <row r="151" customFormat="false" ht="15" hidden="false" customHeight="true" outlineLevel="0" collapsed="false">
      <c r="A151" s="1" t="s">
        <v>511</v>
      </c>
      <c r="B151" s="1" t="s">
        <v>661</v>
      </c>
      <c r="C151" s="1" t="s">
        <v>32</v>
      </c>
      <c r="D151" s="1" t="s">
        <v>662</v>
      </c>
      <c r="E151" s="1" t="s">
        <v>34</v>
      </c>
      <c r="F151" s="1" t="s">
        <v>35</v>
      </c>
      <c r="G151" s="1" t="s">
        <v>45</v>
      </c>
      <c r="H151" s="1" t="n">
        <v>3</v>
      </c>
      <c r="I151" s="1" t="s">
        <v>62</v>
      </c>
      <c r="K151" s="1" t="s">
        <v>669</v>
      </c>
      <c r="L151" s="1" t="s">
        <v>670</v>
      </c>
      <c r="M151" s="1" t="s">
        <v>41</v>
      </c>
      <c r="N151" s="1" t="s">
        <v>42</v>
      </c>
    </row>
    <row r="152" customFormat="false" ht="15" hidden="false" customHeight="true" outlineLevel="0" collapsed="false">
      <c r="A152" s="1" t="s">
        <v>281</v>
      </c>
      <c r="B152" s="1" t="s">
        <v>661</v>
      </c>
      <c r="C152" s="1" t="s">
        <v>32</v>
      </c>
      <c r="D152" s="1" t="s">
        <v>671</v>
      </c>
      <c r="E152" s="1" t="s">
        <v>132</v>
      </c>
      <c r="F152" s="1" t="s">
        <v>188</v>
      </c>
      <c r="G152" s="1" t="s">
        <v>45</v>
      </c>
      <c r="H152" s="1" t="n">
        <v>3</v>
      </c>
      <c r="I152" s="1" t="s">
        <v>62</v>
      </c>
      <c r="K152" s="1" t="s">
        <v>672</v>
      </c>
      <c r="L152" s="1" t="s">
        <v>673</v>
      </c>
      <c r="M152" s="1" t="s">
        <v>53</v>
      </c>
      <c r="N152" s="1" t="s">
        <v>674</v>
      </c>
    </row>
    <row r="153" customFormat="false" ht="15" hidden="false" customHeight="true" outlineLevel="0" collapsed="false">
      <c r="A153" s="1" t="s">
        <v>675</v>
      </c>
      <c r="B153" s="1" t="s">
        <v>661</v>
      </c>
      <c r="C153" s="1" t="s">
        <v>32</v>
      </c>
      <c r="D153" s="1" t="s">
        <v>676</v>
      </c>
      <c r="E153" s="1" t="s">
        <v>132</v>
      </c>
      <c r="F153" s="1" t="s">
        <v>188</v>
      </c>
      <c r="G153" s="1" t="s">
        <v>83</v>
      </c>
      <c r="H153" s="1" t="n">
        <v>3</v>
      </c>
      <c r="I153" s="1" t="s">
        <v>37</v>
      </c>
      <c r="K153" s="1" t="s">
        <v>677</v>
      </c>
      <c r="L153" s="1" t="s">
        <v>678</v>
      </c>
      <c r="M153" s="1" t="s">
        <v>41</v>
      </c>
      <c r="N153" s="1" t="s">
        <v>674</v>
      </c>
    </row>
    <row r="154" customFormat="false" ht="15" hidden="false" customHeight="true" outlineLevel="0" collapsed="false">
      <c r="A154" s="1" t="s">
        <v>679</v>
      </c>
      <c r="B154" s="1" t="s">
        <v>661</v>
      </c>
      <c r="C154" s="1" t="s">
        <v>32</v>
      </c>
      <c r="D154" s="1" t="s">
        <v>680</v>
      </c>
      <c r="E154" s="1" t="s">
        <v>132</v>
      </c>
      <c r="F154" s="1" t="s">
        <v>188</v>
      </c>
      <c r="G154" s="1" t="s">
        <v>83</v>
      </c>
      <c r="H154" s="1" t="n">
        <v>3</v>
      </c>
      <c r="I154" s="1" t="s">
        <v>37</v>
      </c>
      <c r="K154" s="1" t="s">
        <v>681</v>
      </c>
      <c r="L154" s="1" t="s">
        <v>682</v>
      </c>
      <c r="M154" s="1" t="s">
        <v>41</v>
      </c>
      <c r="N154" s="1" t="s">
        <v>674</v>
      </c>
    </row>
    <row r="155" customFormat="false" ht="15" hidden="false" customHeight="true" outlineLevel="0" collapsed="false">
      <c r="A155" s="1" t="s">
        <v>683</v>
      </c>
      <c r="B155" s="1" t="s">
        <v>661</v>
      </c>
      <c r="C155" s="1" t="s">
        <v>32</v>
      </c>
      <c r="D155" s="1" t="s">
        <v>684</v>
      </c>
      <c r="E155" s="1" t="s">
        <v>259</v>
      </c>
      <c r="F155" s="1" t="s">
        <v>685</v>
      </c>
      <c r="G155" s="1" t="s">
        <v>45</v>
      </c>
      <c r="H155" s="1" t="n">
        <v>3</v>
      </c>
      <c r="I155" s="1" t="s">
        <v>62</v>
      </c>
      <c r="K155" s="1" t="s">
        <v>686</v>
      </c>
      <c r="L155" s="1" t="s">
        <v>687</v>
      </c>
      <c r="M155" s="1" t="s">
        <v>41</v>
      </c>
      <c r="N155" s="1" t="s">
        <v>42</v>
      </c>
    </row>
    <row r="156" customFormat="false" ht="15" hidden="false" customHeight="true" outlineLevel="0" collapsed="false">
      <c r="A156" s="1" t="s">
        <v>683</v>
      </c>
      <c r="B156" s="1" t="s">
        <v>661</v>
      </c>
      <c r="C156" s="1" t="s">
        <v>32</v>
      </c>
      <c r="D156" s="1" t="s">
        <v>684</v>
      </c>
      <c r="E156" s="1" t="s">
        <v>60</v>
      </c>
      <c r="F156" s="1" t="s">
        <v>61</v>
      </c>
      <c r="G156" s="1" t="s">
        <v>56</v>
      </c>
      <c r="H156" s="1" t="n">
        <v>3</v>
      </c>
      <c r="I156" s="1" t="s">
        <v>62</v>
      </c>
      <c r="K156" s="1" t="s">
        <v>688</v>
      </c>
      <c r="L156" s="1" t="s">
        <v>689</v>
      </c>
      <c r="M156" s="1" t="s">
        <v>107</v>
      </c>
      <c r="N156" s="1" t="s">
        <v>42</v>
      </c>
    </row>
    <row r="157" customFormat="false" ht="15" hidden="false" customHeight="true" outlineLevel="0" collapsed="false">
      <c r="A157" s="1" t="s">
        <v>690</v>
      </c>
      <c r="B157" s="1" t="s">
        <v>661</v>
      </c>
      <c r="C157" s="1" t="s">
        <v>32</v>
      </c>
      <c r="D157" s="1" t="s">
        <v>691</v>
      </c>
      <c r="E157" s="1" t="s">
        <v>54</v>
      </c>
      <c r="F157" s="1" t="s">
        <v>400</v>
      </c>
      <c r="G157" s="1" t="s">
        <v>56</v>
      </c>
      <c r="H157" s="1" t="n">
        <v>3</v>
      </c>
      <c r="I157" s="1" t="s">
        <v>62</v>
      </c>
      <c r="K157" s="1" t="s">
        <v>692</v>
      </c>
      <c r="L157" s="1" t="s">
        <v>693</v>
      </c>
      <c r="M157" s="1" t="s">
        <v>53</v>
      </c>
      <c r="N157" s="1" t="s">
        <v>674</v>
      </c>
    </row>
    <row r="158" customFormat="false" ht="15" hidden="false" customHeight="true" outlineLevel="0" collapsed="false">
      <c r="A158" s="1" t="s">
        <v>694</v>
      </c>
      <c r="B158" s="1" t="s">
        <v>661</v>
      </c>
      <c r="C158" s="1" t="s">
        <v>32</v>
      </c>
      <c r="D158" s="1" t="s">
        <v>695</v>
      </c>
      <c r="E158" s="1" t="s">
        <v>54</v>
      </c>
      <c r="F158" s="1" t="s">
        <v>400</v>
      </c>
      <c r="G158" s="1" t="s">
        <v>83</v>
      </c>
      <c r="H158" s="1" t="n">
        <v>2</v>
      </c>
      <c r="I158" s="1" t="s">
        <v>37</v>
      </c>
      <c r="K158" s="1" t="s">
        <v>696</v>
      </c>
      <c r="L158" s="1" t="s">
        <v>697</v>
      </c>
      <c r="M158" s="1" t="s">
        <v>53</v>
      </c>
      <c r="N158" s="1" t="s">
        <v>674</v>
      </c>
    </row>
    <row r="159" customFormat="false" ht="15" hidden="false" customHeight="true" outlineLevel="0" collapsed="false">
      <c r="A159" s="1" t="s">
        <v>698</v>
      </c>
      <c r="B159" s="1" t="s">
        <v>661</v>
      </c>
      <c r="C159" s="1" t="s">
        <v>32</v>
      </c>
      <c r="D159" s="1" t="s">
        <v>699</v>
      </c>
      <c r="E159" s="1" t="s">
        <v>54</v>
      </c>
      <c r="F159" s="1" t="s">
        <v>400</v>
      </c>
      <c r="G159" s="1" t="s">
        <v>83</v>
      </c>
      <c r="H159" s="1" t="n">
        <v>2</v>
      </c>
      <c r="I159" s="1" t="s">
        <v>37</v>
      </c>
      <c r="K159" s="1" t="s">
        <v>700</v>
      </c>
      <c r="L159" s="1" t="s">
        <v>701</v>
      </c>
      <c r="M159" s="1" t="s">
        <v>53</v>
      </c>
      <c r="N159" s="1" t="s">
        <v>674</v>
      </c>
    </row>
    <row r="160" customFormat="false" ht="15" hidden="false" customHeight="true" outlineLevel="0" collapsed="false">
      <c r="A160" s="1" t="s">
        <v>702</v>
      </c>
      <c r="B160" s="1" t="s">
        <v>661</v>
      </c>
      <c r="C160" s="1" t="s">
        <v>32</v>
      </c>
      <c r="D160" s="1" t="s">
        <v>703</v>
      </c>
      <c r="E160" s="1" t="s">
        <v>132</v>
      </c>
      <c r="F160" s="1" t="s">
        <v>188</v>
      </c>
      <c r="G160" s="1" t="s">
        <v>56</v>
      </c>
      <c r="H160" s="1" t="n">
        <v>3</v>
      </c>
      <c r="I160" s="1" t="s">
        <v>37</v>
      </c>
      <c r="K160" s="1" t="s">
        <v>704</v>
      </c>
      <c r="L160" s="1" t="s">
        <v>705</v>
      </c>
      <c r="M160" s="1" t="s">
        <v>41</v>
      </c>
      <c r="N160" s="1" t="s">
        <v>674</v>
      </c>
    </row>
  </sheetData>
  <autoFilter ref="A1:O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25"/>
    <col collapsed="false" customWidth="true" hidden="false" outlineLevel="0" max="4" min="4" style="1" width="16"/>
    <col collapsed="false" customWidth="true" hidden="false" outlineLevel="0" max="5" min="5" style="1" width="30"/>
    <col collapsed="false" customWidth="true" hidden="false" outlineLevel="0" max="6" min="6" style="1" width="35"/>
    <col collapsed="false" customWidth="true" hidden="false" outlineLevel="0" max="7" min="7" style="1" width="14"/>
    <col collapsed="false" customWidth="true" hidden="false" outlineLevel="0" max="8" min="8" style="1" width="16"/>
  </cols>
  <sheetData>
    <row r="1" customFormat="false" ht="26.25" hidden="false" customHeight="true" outlineLevel="0" collapsed="false">
      <c r="A1" s="2" t="s">
        <v>1</v>
      </c>
      <c r="B1" s="2" t="s">
        <v>706</v>
      </c>
      <c r="C1" s="2" t="s">
        <v>707</v>
      </c>
      <c r="D1" s="2" t="s">
        <v>708</v>
      </c>
      <c r="E1" s="2" t="s">
        <v>709</v>
      </c>
      <c r="F1" s="2" t="s">
        <v>710</v>
      </c>
      <c r="G1" s="2" t="s">
        <v>711</v>
      </c>
      <c r="H1" s="2" t="s">
        <v>712</v>
      </c>
    </row>
    <row r="2" customFormat="false" ht="15" hidden="false" customHeight="true" outlineLevel="0" collapsed="false">
      <c r="A2" s="6" t="s">
        <v>31</v>
      </c>
      <c r="B2" s="6" t="s">
        <v>713</v>
      </c>
      <c r="C2" s="6" t="s">
        <v>714</v>
      </c>
      <c r="D2" s="6" t="s">
        <v>715</v>
      </c>
      <c r="E2" s="6"/>
      <c r="F2" s="6" t="s">
        <v>716</v>
      </c>
      <c r="G2" s="6" t="s">
        <v>717</v>
      </c>
      <c r="H2" s="6" t="s">
        <v>718</v>
      </c>
    </row>
    <row r="3" customFormat="false" ht="15" hidden="false" customHeight="true" outlineLevel="0" collapsed="false">
      <c r="A3" s="6" t="s">
        <v>167</v>
      </c>
      <c r="B3" s="6" t="s">
        <v>719</v>
      </c>
      <c r="C3" s="6" t="s">
        <v>720</v>
      </c>
      <c r="D3" s="6" t="s">
        <v>721</v>
      </c>
      <c r="E3" s="6" t="s">
        <v>722</v>
      </c>
      <c r="F3" s="6" t="s">
        <v>723</v>
      </c>
      <c r="G3" s="6" t="s">
        <v>724</v>
      </c>
      <c r="H3" s="6" t="s">
        <v>725</v>
      </c>
    </row>
    <row r="4" customFormat="false" ht="15" hidden="false" customHeight="true" outlineLevel="0" collapsed="false">
      <c r="A4" s="1" t="s">
        <v>365</v>
      </c>
      <c r="B4" s="1" t="s">
        <v>726</v>
      </c>
      <c r="C4" s="1" t="s">
        <v>727</v>
      </c>
      <c r="D4" s="1" t="s">
        <v>728</v>
      </c>
      <c r="E4" s="1" t="s">
        <v>729</v>
      </c>
      <c r="F4" s="1" t="s">
        <v>730</v>
      </c>
      <c r="G4" s="1" t="s">
        <v>731</v>
      </c>
      <c r="H4" s="1" t="s">
        <v>732</v>
      </c>
    </row>
    <row r="5" customFormat="false" ht="15" hidden="false" customHeight="true" outlineLevel="0" collapsed="false">
      <c r="A5" s="6" t="s">
        <v>444</v>
      </c>
      <c r="B5" s="6" t="s">
        <v>733</v>
      </c>
      <c r="C5" s="6" t="s">
        <v>734</v>
      </c>
      <c r="D5" s="6" t="s">
        <v>735</v>
      </c>
      <c r="E5" s="6" t="s">
        <v>736</v>
      </c>
      <c r="F5" s="6" t="s">
        <v>737</v>
      </c>
      <c r="G5" s="6" t="s">
        <v>724</v>
      </c>
      <c r="H5" s="6" t="s">
        <v>738</v>
      </c>
    </row>
    <row r="6" customFormat="false" ht="15" hidden="false" customHeight="true" outlineLevel="0" collapsed="false">
      <c r="A6" s="1" t="s">
        <v>661</v>
      </c>
      <c r="B6" s="1" t="s">
        <v>739</v>
      </c>
      <c r="C6" s="1" t="s">
        <v>740</v>
      </c>
      <c r="D6" s="1" t="s">
        <v>741</v>
      </c>
      <c r="E6" s="1" t="s">
        <v>742</v>
      </c>
      <c r="F6" s="1" t="s">
        <v>743</v>
      </c>
      <c r="G6" s="1" t="s">
        <v>744</v>
      </c>
      <c r="H6" s="1" t="s">
        <v>745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8" min="2" style="1" width="16"/>
    <col collapsed="false" customWidth="true" hidden="false" outlineLevel="0" max="9" min="9" style="1" width="14"/>
  </cols>
  <sheetData>
    <row r="1" customFormat="false" ht="26.25" hidden="false" customHeight="true" outlineLevel="0" collapsed="false">
      <c r="A1" s="2" t="s">
        <v>746</v>
      </c>
      <c r="B1" s="2" t="s">
        <v>31</v>
      </c>
      <c r="C1" s="2" t="s">
        <v>167</v>
      </c>
      <c r="D1" s="2" t="s">
        <v>365</v>
      </c>
      <c r="E1" s="2" t="s">
        <v>444</v>
      </c>
      <c r="F1" s="2" t="s">
        <v>661</v>
      </c>
      <c r="G1" s="2" t="s">
        <v>747</v>
      </c>
      <c r="H1" s="2" t="s">
        <v>748</v>
      </c>
      <c r="I1" s="2" t="s">
        <v>749</v>
      </c>
    </row>
    <row r="2" customFormat="false" ht="15" hidden="false" customHeight="true" outlineLevel="0" collapsed="false">
      <c r="A2" s="5" t="s">
        <v>260</v>
      </c>
      <c r="B2" s="5" t="n">
        <v>-0.5</v>
      </c>
      <c r="C2" s="5" t="n">
        <v>-1</v>
      </c>
      <c r="D2" s="5" t="n">
        <v>-0.5</v>
      </c>
      <c r="E2" s="5" t="n">
        <v>-1</v>
      </c>
      <c r="F2" s="5" t="n">
        <v>-1</v>
      </c>
      <c r="G2" s="5" t="n">
        <f aca="false">IF(COUNTA(B2:F2)&gt;0,AVERAGE(B2:F2),"")</f>
        <v>-0.8</v>
      </c>
      <c r="H2" s="5" t="n">
        <f aca="false">IF(G2&lt;&gt;"",ABS(G2),"")</f>
        <v>0.8</v>
      </c>
      <c r="I2" s="5" t="s">
        <v>425</v>
      </c>
    </row>
    <row r="3" customFormat="false" ht="15" hidden="false" customHeight="true" outlineLevel="0" collapsed="false">
      <c r="A3" s="7" t="s">
        <v>35</v>
      </c>
      <c r="B3" s="6" t="n">
        <v>0.5</v>
      </c>
      <c r="C3" s="6" t="n">
        <v>1</v>
      </c>
      <c r="D3" s="1" t="n">
        <v>0</v>
      </c>
      <c r="E3" s="1" t="n">
        <v>0</v>
      </c>
      <c r="F3" s="4" t="n">
        <v>-1</v>
      </c>
      <c r="G3" s="1" t="n">
        <f aca="false">IF(COUNTA(B3:F3)&gt;0,AVERAGE(B3:F3),"")</f>
        <v>0.1</v>
      </c>
      <c r="H3" s="1" t="n">
        <f aca="false">IF(G3&lt;&gt;"",ABS(G3),"")</f>
        <v>0.1</v>
      </c>
      <c r="I3" s="6" t="s">
        <v>425</v>
      </c>
    </row>
    <row r="4" customFormat="false" ht="15" hidden="false" customHeight="true" outlineLevel="0" collapsed="false">
      <c r="A4" s="7" t="s">
        <v>400</v>
      </c>
      <c r="B4" s="6" t="n">
        <v>0</v>
      </c>
      <c r="C4" s="6" t="n">
        <v>0</v>
      </c>
      <c r="D4" s="1" t="n">
        <v>1</v>
      </c>
      <c r="E4" s="1" t="n">
        <v>0</v>
      </c>
      <c r="F4" s="1" t="n">
        <v>1</v>
      </c>
      <c r="G4" s="1" t="n">
        <f aca="false">IF(COUNTA(B4:F4)&gt;0,AVERAGE(B4:F4),"")</f>
        <v>0.4</v>
      </c>
      <c r="H4" s="1" t="n">
        <f aca="false">IF(G4&lt;&gt;"",ABS(G4),"")</f>
        <v>0.4</v>
      </c>
      <c r="I4" s="6" t="s">
        <v>425</v>
      </c>
    </row>
    <row r="5" customFormat="false" ht="15" hidden="false" customHeight="true" outlineLevel="0" collapsed="false">
      <c r="A5" s="5" t="s">
        <v>188</v>
      </c>
      <c r="B5" s="5" t="n">
        <v>0</v>
      </c>
      <c r="C5" s="5" t="n">
        <v>-1</v>
      </c>
      <c r="D5" s="5" t="n">
        <v>-1</v>
      </c>
      <c r="E5" s="5" t="n">
        <v>-1</v>
      </c>
      <c r="F5" s="5" t="n">
        <v>-1</v>
      </c>
      <c r="G5" s="5" t="n">
        <f aca="false">IF(COUNTA(B5:F5)&gt;0,AVERAGE(B5:F5),"")</f>
        <v>-0.8</v>
      </c>
      <c r="H5" s="5" t="n">
        <f aca="false">IF(G5&lt;&gt;"",ABS(G5),"")</f>
        <v>0.8</v>
      </c>
      <c r="I5" s="5" t="s">
        <v>425</v>
      </c>
    </row>
    <row r="6" customFormat="false" ht="15" hidden="false" customHeight="true" outlineLevel="0" collapsed="false">
      <c r="A6" s="7" t="s">
        <v>61</v>
      </c>
      <c r="B6" s="6" t="n">
        <v>1</v>
      </c>
      <c r="C6" s="6" t="n">
        <v>0</v>
      </c>
      <c r="E6" s="1" t="n">
        <v>0</v>
      </c>
      <c r="F6" s="4" t="n">
        <v>1</v>
      </c>
      <c r="G6" s="1" t="n">
        <f aca="false">IF(COUNTA(B6:F6)&gt;0,AVERAGE(B6:F6),"")</f>
        <v>0.5</v>
      </c>
      <c r="H6" s="1" t="n">
        <f aca="false">IF(G6&lt;&gt;"",ABS(G6),"")</f>
        <v>0.5</v>
      </c>
      <c r="I6" s="6" t="s">
        <v>425</v>
      </c>
    </row>
    <row r="7" customFormat="false" ht="15" hidden="false" customHeight="true" outlineLevel="0" collapsed="false">
      <c r="A7" s="5" t="s">
        <v>337</v>
      </c>
      <c r="B7" s="5" t="n">
        <v>1</v>
      </c>
      <c r="C7" s="5" t="n">
        <v>1</v>
      </c>
      <c r="D7" s="5" t="n">
        <v>1</v>
      </c>
      <c r="E7" s="5" t="n">
        <v>1</v>
      </c>
      <c r="F7" s="5" t="n">
        <v>1</v>
      </c>
      <c r="G7" s="5" t="n">
        <f aca="false">IF(COUNTA(B7:F7)&gt;0,AVERAGE(B7:F7),"")</f>
        <v>1</v>
      </c>
      <c r="H7" s="5" t="n">
        <f aca="false">IF(G7&lt;&gt;"",ABS(G7),"")</f>
        <v>1</v>
      </c>
      <c r="I7" s="5" t="s">
        <v>425</v>
      </c>
    </row>
    <row r="8" customFormat="false" ht="15" hidden="false" customHeight="true" outlineLevel="0" collapsed="false">
      <c r="A8" s="7" t="s">
        <v>750</v>
      </c>
      <c r="B8" s="6" t="n">
        <v>-1</v>
      </c>
      <c r="C8" s="6" t="n">
        <v>0</v>
      </c>
      <c r="E8" s="1" t="n">
        <v>0</v>
      </c>
      <c r="F8" s="1" t="n">
        <v>0</v>
      </c>
      <c r="G8" s="1" t="n">
        <f aca="false">IF(COUNTA(B8:F8)&gt;0,AVERAGE(B8:F8),"")</f>
        <v>-0.25</v>
      </c>
      <c r="H8" s="1" t="n">
        <f aca="false">IF(G8&lt;&gt;"",ABS(G8),"")</f>
        <v>0.25</v>
      </c>
      <c r="I8" s="6" t="s">
        <v>425</v>
      </c>
    </row>
    <row r="9" customFormat="false" ht="15" hidden="false" customHeight="true" outlineLevel="0" collapsed="false">
      <c r="A9" s="5" t="s">
        <v>180</v>
      </c>
      <c r="B9" s="5" t="n">
        <v>0</v>
      </c>
      <c r="C9" s="5" t="n">
        <v>-1</v>
      </c>
      <c r="D9" s="5" t="n">
        <v>0</v>
      </c>
      <c r="E9" s="5" t="n">
        <v>0</v>
      </c>
      <c r="F9" s="5" t="n">
        <v>0</v>
      </c>
      <c r="G9" s="5" t="n">
        <f aca="false">IF(COUNTA(B9:F9)&gt;0,AVERAGE(B9:F9),"")</f>
        <v>-0.2</v>
      </c>
      <c r="H9" s="5" t="n">
        <f aca="false">IF(G9&lt;&gt;"",ABS(G9),"")</f>
        <v>0.2</v>
      </c>
      <c r="I9" s="5" t="s">
        <v>425</v>
      </c>
    </row>
    <row r="10" customFormat="false" ht="15" hidden="false" customHeight="true" outlineLevel="0" collapsed="false">
      <c r="A10" s="7" t="s">
        <v>751</v>
      </c>
      <c r="B10" s="6" t="n">
        <v>0</v>
      </c>
      <c r="C10" s="6" t="n">
        <v>1</v>
      </c>
      <c r="E10" s="1" t="n">
        <v>0</v>
      </c>
      <c r="F10" s="4" t="n">
        <v>0</v>
      </c>
      <c r="G10" s="1" t="n">
        <f aca="false">IF(COUNTA(B10:F10)&gt;0,AVERAGE(B10:F10),"")</f>
        <v>0.25</v>
      </c>
      <c r="H10" s="1" t="n">
        <f aca="false">IF(G10&lt;&gt;"",ABS(G10),"")</f>
        <v>0.25</v>
      </c>
      <c r="I10" s="6" t="s">
        <v>425</v>
      </c>
    </row>
    <row r="11" customFormat="false" ht="15" hidden="false" customHeight="true" outlineLevel="0" collapsed="false">
      <c r="A11" s="5" t="s">
        <v>439</v>
      </c>
      <c r="B11" s="5" t="n">
        <v>0.5</v>
      </c>
      <c r="C11" s="5" t="n">
        <v>1</v>
      </c>
      <c r="D11" s="5" t="n">
        <v>1</v>
      </c>
      <c r="E11" s="5" t="n">
        <v>0.5</v>
      </c>
      <c r="F11" s="5" t="n">
        <v>0</v>
      </c>
      <c r="G11" s="5" t="n">
        <f aca="false">IF(COUNTA(B11:F11)&gt;0,AVERAGE(B11:F11),"")</f>
        <v>0.6</v>
      </c>
      <c r="H11" s="5" t="n">
        <f aca="false">IF(G11&lt;&gt;"",ABS(G11),"")</f>
        <v>0.6</v>
      </c>
      <c r="I11" s="5" t="s">
        <v>425</v>
      </c>
    </row>
    <row r="12" customFormat="false" ht="15" hidden="false" customHeight="true" outlineLevel="0" collapsed="false">
      <c r="A12" s="1" t="s">
        <v>752</v>
      </c>
      <c r="B12" s="6" t="n">
        <v>1</v>
      </c>
      <c r="C12" s="1" t="n">
        <v>0</v>
      </c>
      <c r="E12" s="1" t="n">
        <v>1</v>
      </c>
      <c r="F12" s="1" t="n">
        <v>1</v>
      </c>
      <c r="G12" s="1" t="n">
        <f aca="false">IF(COUNTA(B12:F12)&gt;0,AVERAGE(B12:F12),"")</f>
        <v>0.75</v>
      </c>
      <c r="H12" s="1" t="n">
        <f aca="false">IF(G12&lt;&gt;"",ABS(G12),"")</f>
        <v>0.75</v>
      </c>
      <c r="I12" s="6" t="s">
        <v>425</v>
      </c>
    </row>
    <row r="14" customFormat="false" ht="15" hidden="false" customHeight="true" outlineLevel="0" collapsed="false">
      <c r="A14" s="8" t="s">
        <v>753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18"/>
    <col collapsed="false" customWidth="true" hidden="false" outlineLevel="0" max="5" min="4" style="1" width="14"/>
    <col collapsed="false" customWidth="true" hidden="false" outlineLevel="0" max="6" min="6" style="1" width="35"/>
    <col collapsed="false" customWidth="true" hidden="false" outlineLevel="0" max="7" min="7" style="1" width="30"/>
  </cols>
  <sheetData>
    <row r="1" customFormat="false" ht="15" hidden="false" customHeight="true" outlineLevel="0" collapsed="false">
      <c r="A1" s="2" t="s">
        <v>0</v>
      </c>
      <c r="B1" s="2" t="s">
        <v>1</v>
      </c>
      <c r="C1" s="2" t="s">
        <v>754</v>
      </c>
      <c r="D1" s="2" t="s">
        <v>755</v>
      </c>
      <c r="E1" s="2" t="s">
        <v>756</v>
      </c>
      <c r="F1" s="2" t="s">
        <v>757</v>
      </c>
      <c r="G1" s="2" t="s">
        <v>758</v>
      </c>
    </row>
    <row r="2" customFormat="false" ht="34.5" hidden="false" customHeight="true" outlineLevel="0" collapsed="false">
      <c r="A2" s="5" t="s">
        <v>311</v>
      </c>
      <c r="B2" s="5" t="s">
        <v>167</v>
      </c>
      <c r="C2" s="5" t="s">
        <v>180</v>
      </c>
      <c r="D2" s="5" t="s">
        <v>759</v>
      </c>
      <c r="E2" s="5" t="s">
        <v>760</v>
      </c>
      <c r="F2" s="5" t="s">
        <v>761</v>
      </c>
      <c r="G2" s="5" t="s">
        <v>312</v>
      </c>
    </row>
    <row r="3" customFormat="false" ht="23.25" hidden="false" customHeight="true" outlineLevel="0" collapsed="false">
      <c r="A3" s="5" t="s">
        <v>311</v>
      </c>
      <c r="B3" s="5" t="s">
        <v>167</v>
      </c>
      <c r="C3" s="5" t="s">
        <v>439</v>
      </c>
      <c r="D3" s="5" t="s">
        <v>762</v>
      </c>
      <c r="E3" s="5" t="s">
        <v>763</v>
      </c>
      <c r="F3" s="5" t="s">
        <v>764</v>
      </c>
      <c r="G3" s="5" t="s">
        <v>312</v>
      </c>
    </row>
    <row r="4" customFormat="false" ht="34.5" hidden="false" customHeight="true" outlineLevel="0" collapsed="false">
      <c r="A4" s="5" t="s">
        <v>342</v>
      </c>
      <c r="B4" s="5" t="s">
        <v>167</v>
      </c>
      <c r="C4" s="5" t="s">
        <v>188</v>
      </c>
      <c r="D4" s="5" t="s">
        <v>765</v>
      </c>
      <c r="E4" s="5" t="s">
        <v>766</v>
      </c>
      <c r="F4" s="5" t="s">
        <v>767</v>
      </c>
      <c r="G4" s="5" t="s">
        <v>343</v>
      </c>
    </row>
    <row r="5" customFormat="false" ht="34.5" hidden="false" customHeight="true" outlineLevel="0" collapsed="false">
      <c r="A5" s="5" t="s">
        <v>342</v>
      </c>
      <c r="B5" s="5" t="s">
        <v>167</v>
      </c>
      <c r="C5" s="5" t="s">
        <v>337</v>
      </c>
      <c r="D5" s="5" t="s">
        <v>768</v>
      </c>
      <c r="E5" s="5" t="s">
        <v>769</v>
      </c>
      <c r="F5" s="5" t="s">
        <v>770</v>
      </c>
      <c r="G5" s="5" t="s">
        <v>343</v>
      </c>
    </row>
    <row r="6" customFormat="false" ht="34.5" hidden="false" customHeight="true" outlineLevel="0" collapsed="false">
      <c r="A6" s="5" t="s">
        <v>342</v>
      </c>
      <c r="B6" s="5" t="s">
        <v>167</v>
      </c>
      <c r="C6" s="5" t="s">
        <v>260</v>
      </c>
      <c r="D6" s="5" t="s">
        <v>771</v>
      </c>
      <c r="E6" s="5" t="s">
        <v>772</v>
      </c>
      <c r="F6" s="5" t="s">
        <v>773</v>
      </c>
      <c r="G6" s="5" t="s">
        <v>343</v>
      </c>
    </row>
    <row r="7" customFormat="false" ht="34.5" hidden="false" customHeight="true" outlineLevel="0" collapsed="false">
      <c r="A7" s="5" t="s">
        <v>342</v>
      </c>
      <c r="B7" s="5" t="s">
        <v>167</v>
      </c>
      <c r="C7" s="5" t="s">
        <v>180</v>
      </c>
      <c r="D7" s="5" t="s">
        <v>774</v>
      </c>
      <c r="E7" s="5" t="s">
        <v>775</v>
      </c>
      <c r="F7" s="5" t="s">
        <v>776</v>
      </c>
      <c r="G7" s="5" t="s">
        <v>343</v>
      </c>
    </row>
    <row r="8" customFormat="false" ht="34.5" hidden="false" customHeight="true" outlineLevel="0" collapsed="false">
      <c r="A8" s="5" t="s">
        <v>342</v>
      </c>
      <c r="B8" s="5" t="s">
        <v>167</v>
      </c>
      <c r="C8" s="5" t="s">
        <v>439</v>
      </c>
      <c r="D8" s="5" t="s">
        <v>777</v>
      </c>
      <c r="E8" s="5" t="s">
        <v>778</v>
      </c>
      <c r="F8" s="5" t="s">
        <v>779</v>
      </c>
      <c r="G8" s="5" t="s">
        <v>343</v>
      </c>
    </row>
    <row r="9" customFormat="false" ht="15" hidden="false" customHeight="true" outlineLevel="0" collapsed="false">
      <c r="A9" s="1" t="s">
        <v>425</v>
      </c>
      <c r="B9" s="1" t="s">
        <v>365</v>
      </c>
      <c r="C9" s="1" t="s">
        <v>780</v>
      </c>
      <c r="D9" s="1" t="s">
        <v>781</v>
      </c>
      <c r="E9" s="1" t="s">
        <v>782</v>
      </c>
      <c r="F9" s="1" t="s">
        <v>783</v>
      </c>
      <c r="G9" s="1" t="s">
        <v>784</v>
      </c>
    </row>
    <row r="10" customFormat="false" ht="15" hidden="false" customHeight="true" outlineLevel="0" collapsed="false">
      <c r="A10" s="1" t="s">
        <v>425</v>
      </c>
      <c r="B10" s="1" t="s">
        <v>365</v>
      </c>
      <c r="C10" s="1" t="s">
        <v>400</v>
      </c>
      <c r="D10" s="1" t="s">
        <v>785</v>
      </c>
      <c r="E10" s="1" t="s">
        <v>768</v>
      </c>
      <c r="F10" s="1" t="s">
        <v>786</v>
      </c>
      <c r="G10" s="1" t="s">
        <v>426</v>
      </c>
    </row>
    <row r="11" customFormat="false" ht="15" hidden="false" customHeight="true" outlineLevel="0" collapsed="false">
      <c r="A11" s="1" t="s">
        <v>425</v>
      </c>
      <c r="B11" s="1" t="s">
        <v>365</v>
      </c>
      <c r="C11" s="1" t="s">
        <v>787</v>
      </c>
      <c r="D11" s="1" t="s">
        <v>785</v>
      </c>
      <c r="E11" s="1" t="s">
        <v>768</v>
      </c>
      <c r="F11" s="1" t="s">
        <v>788</v>
      </c>
      <c r="G11" s="1" t="s">
        <v>426</v>
      </c>
    </row>
    <row r="12" customFormat="false" ht="15" hidden="false" customHeight="true" outlineLevel="0" collapsed="false">
      <c r="A12" s="1" t="s">
        <v>425</v>
      </c>
      <c r="B12" s="1" t="s">
        <v>365</v>
      </c>
      <c r="C12" s="1" t="s">
        <v>432</v>
      </c>
      <c r="D12" s="1" t="s">
        <v>785</v>
      </c>
      <c r="E12" s="1" t="s">
        <v>789</v>
      </c>
      <c r="F12" s="1" t="s">
        <v>790</v>
      </c>
      <c r="G12" s="1" t="s">
        <v>426</v>
      </c>
    </row>
    <row r="13" customFormat="false" ht="15" hidden="false" customHeight="true" outlineLevel="0" collapsed="false">
      <c r="A13" s="1" t="s">
        <v>425</v>
      </c>
      <c r="B13" s="1" t="s">
        <v>365</v>
      </c>
      <c r="C13" s="1" t="s">
        <v>188</v>
      </c>
      <c r="D13" s="1" t="s">
        <v>785</v>
      </c>
      <c r="E13" s="1" t="s">
        <v>765</v>
      </c>
      <c r="F13" s="1" t="s">
        <v>791</v>
      </c>
      <c r="G13" s="1" t="s">
        <v>426</v>
      </c>
    </row>
    <row r="14" customFormat="false" ht="15" hidden="false" customHeight="true" outlineLevel="0" collapsed="false">
      <c r="A14" s="1" t="s">
        <v>425</v>
      </c>
      <c r="B14" s="1" t="s">
        <v>365</v>
      </c>
      <c r="C14" s="1" t="s">
        <v>439</v>
      </c>
      <c r="D14" s="1" t="s">
        <v>785</v>
      </c>
      <c r="E14" s="1" t="s">
        <v>792</v>
      </c>
      <c r="F14" s="1" t="s">
        <v>793</v>
      </c>
      <c r="G14" s="1" t="s">
        <v>426</v>
      </c>
    </row>
    <row r="15" customFormat="false" ht="45.75" hidden="false" customHeight="true" outlineLevel="0" collapsed="false">
      <c r="A15" s="5" t="s">
        <v>425</v>
      </c>
      <c r="B15" s="5" t="s">
        <v>444</v>
      </c>
      <c r="C15" s="5" t="s">
        <v>794</v>
      </c>
      <c r="D15" s="5" t="s">
        <v>795</v>
      </c>
      <c r="E15" s="5" t="s">
        <v>796</v>
      </c>
      <c r="F15" s="5" t="s">
        <v>797</v>
      </c>
      <c r="G15" s="5" t="s">
        <v>798</v>
      </c>
    </row>
    <row r="16" customFormat="false" ht="34.5" hidden="false" customHeight="true" outlineLevel="0" collapsed="false">
      <c r="A16" s="5" t="s">
        <v>425</v>
      </c>
      <c r="B16" s="5" t="s">
        <v>444</v>
      </c>
      <c r="C16" s="5" t="s">
        <v>337</v>
      </c>
      <c r="D16" s="5" t="s">
        <v>795</v>
      </c>
      <c r="E16" s="5" t="s">
        <v>799</v>
      </c>
      <c r="F16" s="5" t="s">
        <v>800</v>
      </c>
      <c r="G16" s="5" t="s">
        <v>516</v>
      </c>
    </row>
    <row r="17" customFormat="false" ht="34.5" hidden="false" customHeight="true" outlineLevel="0" collapsed="false">
      <c r="A17" s="5" t="s">
        <v>425</v>
      </c>
      <c r="B17" s="5" t="s">
        <v>444</v>
      </c>
      <c r="C17" s="5" t="s">
        <v>188</v>
      </c>
      <c r="D17" s="5" t="s">
        <v>795</v>
      </c>
      <c r="E17" s="5" t="s">
        <v>801</v>
      </c>
      <c r="F17" s="5" t="s">
        <v>802</v>
      </c>
      <c r="G17" s="5" t="s">
        <v>512</v>
      </c>
    </row>
    <row r="18" customFormat="false" ht="34.5" hidden="false" customHeight="true" outlineLevel="0" collapsed="false">
      <c r="A18" s="5" t="s">
        <v>425</v>
      </c>
      <c r="B18" s="5" t="s">
        <v>444</v>
      </c>
      <c r="C18" s="5" t="s">
        <v>456</v>
      </c>
      <c r="D18" s="5" t="s">
        <v>795</v>
      </c>
      <c r="E18" s="5" t="s">
        <v>801</v>
      </c>
      <c r="F18" s="5" t="s">
        <v>803</v>
      </c>
      <c r="G18" s="5" t="s">
        <v>497</v>
      </c>
    </row>
    <row r="19" customFormat="false" ht="34.5" hidden="false" customHeight="true" outlineLevel="0" collapsed="false">
      <c r="A19" s="5" t="s">
        <v>425</v>
      </c>
      <c r="B19" s="5" t="s">
        <v>444</v>
      </c>
      <c r="C19" s="5" t="s">
        <v>752</v>
      </c>
      <c r="D19" s="5" t="s">
        <v>795</v>
      </c>
      <c r="E19" s="5" t="s">
        <v>799</v>
      </c>
      <c r="F19" s="5" t="s">
        <v>804</v>
      </c>
      <c r="G19" s="5" t="s">
        <v>477</v>
      </c>
    </row>
    <row r="20" customFormat="false" ht="15" hidden="false" customHeight="true" outlineLevel="0" collapsed="false">
      <c r="A20" s="1" t="s">
        <v>425</v>
      </c>
      <c r="B20" s="1" t="s">
        <v>661</v>
      </c>
      <c r="C20" s="1" t="s">
        <v>805</v>
      </c>
      <c r="D20" s="1" t="s">
        <v>806</v>
      </c>
      <c r="E20" s="1" t="s">
        <v>807</v>
      </c>
      <c r="F20" s="1" t="s">
        <v>808</v>
      </c>
      <c r="G20" s="1" t="s">
        <v>809</v>
      </c>
    </row>
    <row r="21" customFormat="false" ht="15" hidden="false" customHeight="true" outlineLevel="0" collapsed="false">
      <c r="A21" s="1" t="s">
        <v>425</v>
      </c>
      <c r="B21" s="1" t="s">
        <v>167</v>
      </c>
      <c r="C21" s="1" t="s">
        <v>780</v>
      </c>
      <c r="D21" s="1" t="s">
        <v>810</v>
      </c>
      <c r="E21" s="1" t="s">
        <v>811</v>
      </c>
      <c r="F21" s="1" t="s">
        <v>812</v>
      </c>
      <c r="G21" s="1" t="s">
        <v>813</v>
      </c>
    </row>
    <row r="22" customFormat="false" ht="57" hidden="false" customHeight="true" outlineLevel="0" collapsed="false">
      <c r="A22" s="5" t="s">
        <v>342</v>
      </c>
      <c r="B22" s="5" t="s">
        <v>31</v>
      </c>
      <c r="C22" s="5" t="s">
        <v>780</v>
      </c>
      <c r="D22" s="5" t="s">
        <v>814</v>
      </c>
      <c r="E22" s="5" t="s">
        <v>815</v>
      </c>
      <c r="F22" s="5" t="s">
        <v>816</v>
      </c>
      <c r="G22" s="5" t="s">
        <v>616</v>
      </c>
    </row>
    <row r="23" customFormat="false" ht="15" hidden="false" customHeight="true" outlineLevel="0" collapsed="false">
      <c r="A23" s="1" t="s">
        <v>511</v>
      </c>
      <c r="B23" s="1" t="s">
        <v>661</v>
      </c>
      <c r="C23" s="1" t="s">
        <v>188</v>
      </c>
      <c r="D23" s="1" t="s">
        <v>817</v>
      </c>
      <c r="E23" s="1" t="s">
        <v>818</v>
      </c>
      <c r="F23" s="1" t="s">
        <v>819</v>
      </c>
      <c r="G23" s="1" t="s">
        <v>662</v>
      </c>
    </row>
    <row r="24" customFormat="false" ht="15" hidden="false" customHeight="true" outlineLevel="0" collapsed="false">
      <c r="A24" s="1" t="s">
        <v>511</v>
      </c>
      <c r="B24" s="1" t="s">
        <v>661</v>
      </c>
      <c r="C24" s="1" t="s">
        <v>337</v>
      </c>
      <c r="D24" s="1" t="s">
        <v>820</v>
      </c>
      <c r="E24" s="1" t="s">
        <v>821</v>
      </c>
      <c r="F24" s="1" t="s">
        <v>822</v>
      </c>
      <c r="G24" s="1" t="s">
        <v>662</v>
      </c>
    </row>
    <row r="25" customFormat="false" ht="15" hidden="false" customHeight="true" outlineLevel="0" collapsed="false">
      <c r="A25" s="1" t="s">
        <v>823</v>
      </c>
      <c r="B25" s="1" t="s">
        <v>661</v>
      </c>
      <c r="C25" s="1" t="s">
        <v>400</v>
      </c>
      <c r="D25" s="1" t="s">
        <v>824</v>
      </c>
      <c r="E25" s="1" t="s">
        <v>825</v>
      </c>
      <c r="F25" s="1" t="s">
        <v>826</v>
      </c>
      <c r="G25" s="1" t="s">
        <v>827</v>
      </c>
    </row>
    <row r="26" customFormat="false" ht="15" hidden="false" customHeight="true" outlineLevel="0" collapsed="false">
      <c r="A26" s="1" t="s">
        <v>425</v>
      </c>
      <c r="B26" s="1" t="s">
        <v>661</v>
      </c>
      <c r="C26" s="1" t="s">
        <v>794</v>
      </c>
      <c r="D26" s="1" t="s">
        <v>795</v>
      </c>
      <c r="E26" s="1" t="s">
        <v>828</v>
      </c>
      <c r="F26" s="1" t="s">
        <v>829</v>
      </c>
      <c r="G26" s="1" t="s">
        <v>743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2026-03-17T14:29:19Z</dcterms:created>
  <dc:creator>openpyxl</dc:creator>
  <dc:description/>
  <dc:language>en-US</dc:language>
  <cp:lastModifiedBy/>
  <dcterms:modified xsi:type="dcterms:W3CDTF">2026-03-23T16:15:37Z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